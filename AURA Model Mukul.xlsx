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/>
  <xr:revisionPtr revIDLastSave="0" documentId="11_47B6D381FDD9EF5D6AC63CF868651F397297EC9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OVER" sheetId="1" r:id="rId1"/>
    <sheet name="HISTORICAL" sheetId="2" r:id="rId2"/>
    <sheet name="ASSUMPTIONS" sheetId="3" r:id="rId3"/>
    <sheet name="PROJECTIONS" sheetId="4" r:id="rId4"/>
    <sheet name="DCF VALUATION" sheetId="5" r:id="rId5"/>
    <sheet name="COMPARABLES" sheetId="6" r:id="rId6"/>
    <sheet name="SUMMARY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7" l="1"/>
  <c r="F9" i="7"/>
  <c r="F10" i="7"/>
  <c r="F11" i="7"/>
  <c r="D11" i="7"/>
  <c r="C11" i="7"/>
  <c r="B11" i="7"/>
  <c r="E21" i="4"/>
  <c r="E25" i="4"/>
  <c r="E27" i="4"/>
  <c r="E28" i="4"/>
  <c r="E30" i="4"/>
  <c r="E31" i="4"/>
  <c r="E32" i="4"/>
  <c r="B26" i="6"/>
  <c r="E33" i="6"/>
  <c r="G33" i="6"/>
  <c r="B25" i="6"/>
  <c r="C32" i="6"/>
  <c r="E32" i="6"/>
  <c r="G32" i="6"/>
  <c r="B24" i="6"/>
  <c r="C31" i="6"/>
  <c r="E31" i="6"/>
  <c r="G31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21" i="4"/>
  <c r="G21" i="4"/>
  <c r="H21" i="4"/>
  <c r="I21" i="4"/>
  <c r="I37" i="4"/>
  <c r="I38" i="4"/>
  <c r="I22" i="4"/>
  <c r="I39" i="4"/>
  <c r="I40" i="4"/>
  <c r="H37" i="4"/>
  <c r="H38" i="4"/>
  <c r="H22" i="4"/>
  <c r="H39" i="4"/>
  <c r="H40" i="4"/>
  <c r="I41" i="4"/>
  <c r="G37" i="4"/>
  <c r="G38" i="4"/>
  <c r="G22" i="4"/>
  <c r="G39" i="4"/>
  <c r="G40" i="4"/>
  <c r="H41" i="4"/>
  <c r="F37" i="4"/>
  <c r="F38" i="4"/>
  <c r="F22" i="4"/>
  <c r="F39" i="4"/>
  <c r="F40" i="4"/>
  <c r="G41" i="4"/>
  <c r="E37" i="4"/>
  <c r="E38" i="4"/>
  <c r="E22" i="4"/>
  <c r="E39" i="4"/>
  <c r="E40" i="4"/>
  <c r="F41" i="4"/>
  <c r="E41" i="4"/>
  <c r="I25" i="4"/>
  <c r="I27" i="4"/>
  <c r="I28" i="4"/>
  <c r="I30" i="4"/>
  <c r="I31" i="4"/>
  <c r="I32" i="4"/>
  <c r="I33" i="4"/>
  <c r="H25" i="4"/>
  <c r="H27" i="4"/>
  <c r="H28" i="4"/>
  <c r="H30" i="4"/>
  <c r="H31" i="4"/>
  <c r="H32" i="4"/>
  <c r="H33" i="4"/>
  <c r="G25" i="4"/>
  <c r="G27" i="4"/>
  <c r="G28" i="4"/>
  <c r="G30" i="4"/>
  <c r="G31" i="4"/>
  <c r="G32" i="4"/>
  <c r="G33" i="4"/>
  <c r="F25" i="4"/>
  <c r="F27" i="4"/>
  <c r="F28" i="4"/>
  <c r="F30" i="4"/>
  <c r="F31" i="4"/>
  <c r="F32" i="4"/>
  <c r="F33" i="4"/>
  <c r="E33" i="4"/>
  <c r="D33" i="4"/>
  <c r="C33" i="4"/>
  <c r="B33" i="4"/>
  <c r="I26" i="4"/>
  <c r="H26" i="4"/>
  <c r="G26" i="4"/>
  <c r="F26" i="4"/>
  <c r="E26" i="4"/>
  <c r="I23" i="4"/>
  <c r="I24" i="4"/>
  <c r="H23" i="4"/>
  <c r="H24" i="4"/>
  <c r="G23" i="4"/>
  <c r="G24" i="4"/>
  <c r="F23" i="4"/>
  <c r="F24" i="4"/>
  <c r="E23" i="4"/>
  <c r="E24" i="4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D39" i="2"/>
  <c r="C39" i="2"/>
  <c r="B39" i="2"/>
  <c r="D33" i="2"/>
  <c r="C33" i="2"/>
  <c r="B33" i="2"/>
  <c r="D22" i="2"/>
  <c r="C22" i="2"/>
  <c r="B22" i="2"/>
  <c r="D14" i="2"/>
  <c r="C14" i="2"/>
  <c r="B14" i="2"/>
  <c r="D11" i="2"/>
  <c r="D12" i="2"/>
  <c r="C11" i="2"/>
  <c r="C12" i="2"/>
  <c r="B11" i="2"/>
  <c r="B12" i="2"/>
  <c r="B21" i="5"/>
  <c r="B22" i="5"/>
  <c r="B23" i="5"/>
  <c r="B24" i="5"/>
  <c r="B25" i="5"/>
  <c r="B26" i="5"/>
  <c r="B27" i="5"/>
  <c r="B11" i="5"/>
  <c r="B16" i="5"/>
  <c r="B14" i="5"/>
  <c r="B17" i="5"/>
  <c r="B28" i="5"/>
  <c r="B29" i="5"/>
  <c r="C21" i="5"/>
  <c r="C22" i="5"/>
  <c r="C23" i="5"/>
  <c r="C24" i="5"/>
  <c r="C25" i="5"/>
  <c r="C26" i="5"/>
  <c r="C27" i="5"/>
  <c r="C28" i="5"/>
  <c r="C29" i="5"/>
  <c r="D21" i="5"/>
  <c r="D22" i="5"/>
  <c r="D23" i="5"/>
  <c r="D24" i="5"/>
  <c r="D25" i="5"/>
  <c r="D26" i="5"/>
  <c r="D27" i="5"/>
  <c r="D28" i="5"/>
  <c r="D29" i="5"/>
  <c r="E21" i="5"/>
  <c r="E22" i="5"/>
  <c r="E23" i="5"/>
  <c r="E24" i="5"/>
  <c r="E25" i="5"/>
  <c r="E26" i="5"/>
  <c r="E27" i="5"/>
  <c r="E28" i="5"/>
  <c r="E29" i="5"/>
  <c r="F21" i="5"/>
  <c r="F22" i="5"/>
  <c r="F23" i="5"/>
  <c r="F24" i="5"/>
  <c r="F25" i="5"/>
  <c r="F26" i="5"/>
  <c r="F27" i="5"/>
  <c r="F28" i="5"/>
  <c r="F29" i="5"/>
  <c r="B44" i="5"/>
  <c r="B36" i="5"/>
  <c r="B37" i="5"/>
  <c r="B38" i="5"/>
  <c r="B39" i="5"/>
  <c r="B45" i="5"/>
  <c r="B46" i="5"/>
  <c r="B48" i="5"/>
  <c r="B50" i="5"/>
  <c r="B52" i="5"/>
  <c r="B51" i="5"/>
</calcChain>
</file>

<file path=xl/sharedStrings.xml><?xml version="1.0" encoding="utf-8"?>
<sst xmlns="http://schemas.openxmlformats.org/spreadsheetml/2006/main" count="438" uniqueCount="343">
  <si>
    <t>PROJECT LUMINA</t>
  </si>
  <si>
    <t>AURA Consumer Sciences Ltd   |   IPO Valuation   |   FinOrbits IB Championship Season 1</t>
  </si>
  <si>
    <t>SUBMISSION DETAILS</t>
  </si>
  <si>
    <t>Participant Name</t>
  </si>
  <si>
    <t>College / Firm</t>
  </si>
  <si>
    <t>Galgotias University | BBA FIA | CFA Level I Candidate</t>
  </si>
  <si>
    <t>Submission Date</t>
  </si>
  <si>
    <t>April 2026</t>
  </si>
  <si>
    <t>COLOR LEGEND  &amp;  USAGE GUIDE</t>
  </si>
  <si>
    <t>Blue bold text</t>
  </si>
  <si>
    <t>Input cells — type your assumptions here</t>
  </si>
  <si>
    <t>Black text</t>
  </si>
  <si>
    <t>Formula cells — calculated automatically, do not type</t>
  </si>
  <si>
    <t>Green text</t>
  </si>
  <si>
    <t>Cross-tab links — pulling from another sheet</t>
  </si>
  <si>
    <t>Light blue bg</t>
  </si>
  <si>
    <t>Assumption input cells — fill these in</t>
  </si>
  <si>
    <t>INSTRUCTIONS  —  READ BEFORE BUILDING</t>
  </si>
  <si>
    <t>Step 1  |  Read the CIM (Project Lumina) and the FinOrbits IB Analyst Handbook completely.</t>
  </si>
  <si>
    <t>Step 2  |  Go to PROJECTIONS tab. Enter your revenue, margin, and working capital assumptions in blue cells.</t>
  </si>
  <si>
    <t>Step 3  |  Go to DCF tab. Enter all WACC inputs — research your own risk-free rate, ERP, beta, and cost of debt. All FCF rows are pre-structured.</t>
  </si>
  <si>
    <t>Step 4  |  Go to COMPARABLES tab. Select your applied multiple and enter your premium/discount commentary.</t>
  </si>
  <si>
    <t>Step 5  |  Complete SUMMARY tab. Fill valuation ranges, weights, and your final IPO recommendation.</t>
  </si>
  <si>
    <t>RULE: Never hardcode a number inside a formula cell. Blue = your input. Black = formula calculates.</t>
  </si>
  <si>
    <t>RULE: Every assumption must be justified in your Investment Memo submission.</t>
  </si>
  <si>
    <t>CONFIDENTIAL  |  Project Lumina  |  FinOrbits IB Championship S1  |  finorbits.com</t>
  </si>
  <si>
    <t>HISTORICAL FINANCIALS  —  AURA CONSUMER SCIENCES LTD</t>
  </si>
  <si>
    <t>READ-ONLY  |  Sourced from AURA audited financials. Do not edit.</t>
  </si>
  <si>
    <t>INCOME STATEMENT  (₹ Crore)</t>
  </si>
  <si>
    <t>₹ Crore</t>
  </si>
  <si>
    <t>FY2022A</t>
  </si>
  <si>
    <t>FY2023A</t>
  </si>
  <si>
    <t>FY2024A</t>
  </si>
  <si>
    <t>Revenue</t>
  </si>
  <si>
    <t xml:space="preserve">  COGS</t>
  </si>
  <si>
    <t>Gross Profit</t>
  </si>
  <si>
    <t xml:space="preserve">  Gross Margin %</t>
  </si>
  <si>
    <t>EBITDA</t>
  </si>
  <si>
    <t xml:space="preserve">  EBITDA Margin %</t>
  </si>
  <si>
    <t xml:space="preserve">  D&amp;A</t>
  </si>
  <si>
    <t>EBIT</t>
  </si>
  <si>
    <t xml:space="preserve"> Other Income</t>
  </si>
  <si>
    <t xml:space="preserve">  Interest Expense</t>
  </si>
  <si>
    <t>PBT</t>
  </si>
  <si>
    <t xml:space="preserve">  Tax (25%)</t>
  </si>
  <si>
    <t>PAT</t>
  </si>
  <si>
    <t xml:space="preserve">  PAT Margin %</t>
  </si>
  <si>
    <t>BALANCE SHEET  (₹ Crore)</t>
  </si>
  <si>
    <t>ASSETS</t>
  </si>
  <si>
    <t xml:space="preserve">  Fixed Assets (Net)</t>
  </si>
  <si>
    <t xml:space="preserve">  Inventories</t>
  </si>
  <si>
    <t xml:space="preserve">  Trade Receivables</t>
  </si>
  <si>
    <t xml:space="preserve">  Cash &amp; Equivalents</t>
  </si>
  <si>
    <t xml:space="preserve">  Other Current Assets</t>
  </si>
  <si>
    <t>TOTAL ASSETS</t>
  </si>
  <si>
    <t>LIABILITIES &amp; EQUITY</t>
  </si>
  <si>
    <t xml:space="preserve">  Long-Term Debt</t>
  </si>
  <si>
    <t xml:space="preserve">  Trade Payables</t>
  </si>
  <si>
    <t xml:space="preserve">  Other Liabilities</t>
  </si>
  <si>
    <t xml:space="preserve">  Total Equity</t>
  </si>
  <si>
    <t>TOTAL L &amp; E</t>
  </si>
  <si>
    <t>KEY FINANCIAL RATIOS</t>
  </si>
  <si>
    <t>Ratio</t>
  </si>
  <si>
    <t>Revenue Growth YoY</t>
  </si>
  <si>
    <t>-</t>
  </si>
  <si>
    <t>EBITDA Margin</t>
  </si>
  <si>
    <t>Debt/Equity Ratio</t>
  </si>
  <si>
    <t>Interest Coverage</t>
  </si>
  <si>
    <t>Return on Equity</t>
  </si>
  <si>
    <t>CONFIDENTIAL  |  Project Lumina  |  FinOrbits IB Championship S1</t>
  </si>
  <si>
    <t>RED FLAG IDENTIFIED: Management describes AURA as 'asset-light' yet Long-Term Debt grew Rs.22Cr(FY22)-&gt;Rs.31Cr(FY23)-&gt;Rs.42Cr(FY24) = 91% CAGR, vs revenue CAGR 41.4%. Asset-light companies should not require debt growing 2x faster than revenue. This inconsistency between narrative and balance sheet is the CIM Red Flag. IPO proceeds repay Rs.30Cr debt — partially resolves, but trend warrants monitoring.</t>
  </si>
  <si>
    <t>VALUES &amp; BASIS OF ASSUMPTION  —  PROJECT LUMINA  |  AURA Consumer Sciences Ltd</t>
  </si>
  <si>
    <t>Complete this sheet before submitting your model. Every blue assumption in PROJECTIONS and DCF VALUATION must have a documented value (col D) and written justification (col E). Graders will evaluate this sheet independently.</t>
  </si>
  <si>
    <t>Assumption</t>
  </si>
  <si>
    <t>Your Value  (Blue = Input)</t>
  </si>
  <si>
    <t>Basis of Assumption — Write Clearly (This is Graded)</t>
  </si>
  <si>
    <t>SECTION 1 — INCOME STATEMENT ASSUMPTIONS (PROJECTIONS sheet)</t>
  </si>
  <si>
    <t>Revenue Growth Rate %</t>
  </si>
  <si>
    <t>30%(FY25), 27%(FY26), 24%(FY27), 21%(FY28), 18%(FY29)</t>
  </si>
  <si>
    <t>AURA FY22-24 CAGR 41.4%. D2C wellness sector 19% CAGR through FY28 (CIM). Tapering 30%→18% reflects base effect and competition. Conservative vs extrapolation. Sector CAGR = floor.</t>
  </si>
  <si>
    <t>Gross Margin %</t>
  </si>
  <si>
    <t>44.5% → 46.3%</t>
  </si>
  <si>
    <t>Historical 40%→43.8% (+380bps). D2C +400-500bps premium. Protein (52% GM) lifts blended. Conservative ceiling 46.3%.</t>
  </si>
  <si>
    <t>EBITDA Margin %</t>
  </si>
  <si>
    <t>13.0% → 14.8%</t>
  </si>
  <si>
    <t>Mgmt guidance 13%+ FY25. Historical +250bps/2yr from fixed-cost leverage. Peer Mamaearth 14-15%. 14.8% FY29 achievable with Tier-2 scale.</t>
  </si>
  <si>
    <t>D&amp;A as % of Revenue</t>
  </si>
  <si>
    <t>1.2% FY25-26; declining to 1.0% FY29</t>
  </si>
  <si>
    <t>Historical D&amp;A 1.07-1.16% of revenue. Asset-light (contract mfg). D&amp;A% declines as revenue grows faster than fixed assets.</t>
  </si>
  <si>
    <t>Tax Rate %</t>
  </si>
  <si>
    <t>25.0% all years</t>
  </si>
  <si>
    <t>25% per CIM Income Statement. Applied per CIM Technical Note #1 uniformly. No documented reason to deviate.</t>
  </si>
  <si>
    <t>Capex as % of Revenue</t>
  </si>
  <si>
    <t>3.5% FY25-26; 4.0% FY27; 3.8% FY28; 3.5% FY29</t>
  </si>
  <si>
    <t>Capex not in CIM. Asset-light forward model: 3.5-4% funds Tier-2/3 logistics infra only. Peak FY27 for expansion rollout.</t>
  </si>
  <si>
    <t>SECTION 2 — WORKING CAPITAL ASSUMPTIONS (PROJECTIONS sheet)</t>
  </si>
  <si>
    <t>Debtor Days (Receivables)</t>
  </si>
  <si>
    <t>36 → 32 days</t>
  </si>
  <si>
    <t>CIM Key Risks: receivables ~36 days. 68% D2C = cash-advance. Gradual improvement to 32 days FY29. Formula: Receivables/Revenue×365.</t>
  </si>
  <si>
    <t>Creditor Days (Payables)</t>
  </si>
  <si>
    <t>75 → 78 days</t>
  </si>
  <si>
    <t>Derived FY24: Payables Rs.26Cr / COGS Rs.126Cr × 365 = 75.3 days. COGS denominator per CIM Tech Note #2. Slight stretch 75→78.</t>
  </si>
  <si>
    <t>Inventory Days</t>
  </si>
  <si>
    <t>50 → 46 days</t>
  </si>
  <si>
    <t>CIM Key Risks: ~50 inventory days. Used CIM-stated figure. Improving to 46 FY29 via cold-chain efficiency. Formula: Inv/COGS×365.</t>
  </si>
  <si>
    <t>SECTION 3 — INTEREST EXPENSE (PROJECTIONS sheet)</t>
  </si>
  <si>
    <t>Interest Expense FY2025E onward</t>
  </si>
  <si>
    <t>Rs.-1.1Cr(FY25) → Rs.-1.7Cr(FY29)</t>
  </si>
  <si>
    <t>Post-IPO Rs.30Cr repaid (CIM TxSummary): LTD Rs.42→Rs.12Cr. Kd=3.2/36.5=8.8%~9% (CIM Tech Note #3). FY25:9%×12=Rs.1.1Cr. Re-levering for Tier-2 expansion.</t>
  </si>
  <si>
    <t>SECTION 4 — WACC ASSUMPTIONS (DCF VALUATION sheet)</t>
  </si>
  <si>
    <t>Risk-Free Rate (Rf)</t>
  </si>
  <si>
    <t>7.20%</t>
  </si>
  <si>
    <t>India 10-yr G-Sec yield April 2026. Source: RBI.org.in / CCIL published G-Sec rates.</t>
  </si>
  <si>
    <t>Equity Risk Premium (ERP)</t>
  </si>
  <si>
    <t>8.10%</t>
  </si>
  <si>
    <t>Damodaran India ERP January 2026. Source: pages.stern.nyu.edu/~adamodar.</t>
  </si>
  <si>
    <t>Beta (Levered)</t>
  </si>
  <si>
    <t>1.15</t>
  </si>
  <si>
    <t>Peer unlevered beta median 0.95 (Mamaearth,Bikaji,Emami,HindustanFoods,PatanjaliFoods). Re-levered at post-IPO D/E=0.021: BL=0.95×(1+0.75×0.021)=0.965. Small-cap premium → 1.15.</t>
  </si>
  <si>
    <t>Cost of Debt (pre-tax Kd)</t>
  </si>
  <si>
    <t>9.0%</t>
  </si>
  <si>
    <t>CIM Tech Note #3: Int/Avg(OpeningLTD,ClosingLTD). FY24: Rs.3.2Cr/Rs.36.5Cr=8.77%. Rounded to 9.0%.</t>
  </si>
  <si>
    <t>Debt Weight D/V</t>
  </si>
  <si>
    <t>17.5%</t>
  </si>
  <si>
    <t>Post-IPO LTD Rs.12Cr. Est. mkt cap Rs.600Cr+. D/V=1.96%. Used 17.5% conservatively for medium-term re-levering target.</t>
  </si>
  <si>
    <t>SECTION 5 — TERMINAL VALUE (DCF VALUATION sheet)</t>
  </si>
  <si>
    <t>Terminal Growth Rate (g)</t>
  </si>
  <si>
    <t>6.5%</t>
  </si>
  <si>
    <t>India nominal long-run GDP ~6.5% (real ~5%+CPI ~4%-buffer). Strictly &lt; WACC 14.1%. CIM: near-term sector growth NOT appropriate for TV.</t>
  </si>
  <si>
    <t>SECTION 6 — EV-TO-EQUITY BRIDGE (DCF VALUATION sheet)</t>
  </si>
  <si>
    <t>Net Debt</t>
  </si>
  <si>
    <t>Rs.-16Cr (net cash, post-IPO)</t>
  </si>
  <si>
    <t>FY24: LTD Rs.42Cr-Cash Rs.28Cr=Rs.14Cr pre-IPO. Rs.30Cr repaid (CIM TxSummary)-&gt;LTD=Rs.12Cr. Post-IPO: 12-28=-Rs.16Cr (net cash). Net cash adds to equity value.</t>
  </si>
  <si>
    <t>Shares Outstanding</t>
  </si>
  <si>
    <t>10 Crore (pre-IPO, pre-filled)</t>
  </si>
  <si>
    <t>CIM Transaction Summary: 10 Crore pre-IPO shares. Pre-dilution basis. ~4Cr new shares from Rs.200Cr fresh issue at mid-band will dilute post-listing.</t>
  </si>
  <si>
    <t>SECTION 7 — COMPARABLES: APPLIED MULTIPLES (COMPARABLES sheet)</t>
  </si>
  <si>
    <t>Peer Company Selection Rationale</t>
  </si>
  <si>
    <t>Mamaearth, Bikaji Foods, Hindustan Foods, Emami, Patanjali Foods</t>
  </si>
  <si>
    <t>(1) Mamaearth: D2C FMCG, 22% growth, brand-led — most direct comparable. (2) Bikaji: premium Indian food brand, similar consumer. (3) Hindustan Foods: FMCG at lower scale. (4) Emami: established health/wellness — mature multiple anchor. (5) Patanjali Foods: Indian wellness brand. All NSE/BSE listed. Data: NSE/BSE market data + annual reports.</t>
  </si>
  <si>
    <t>EV/Revenue Multiple Applied</t>
  </si>
  <si>
    <t>6.5x (vs peer median ~3.7x)</t>
  </si>
  <si>
    <t>6.5x justified by pure-play D2C model, 30% rev growth (vs peer avg 15%), structural GM advantage. Comparable to Mamaearth listing multiple.</t>
  </si>
  <si>
    <t>EV/EBITDA Multiple Applied</t>
  </si>
  <si>
    <t>38.0x (vs peer median ~37x)</t>
  </si>
  <si>
    <t>38.0x = ~3% premium to peer median 37x. AURA's 30% growth vs peer avg 15% justifies small premium. Discounted for smaller scale. Conservative.</t>
  </si>
  <si>
    <t>P/E Multiple Applied</t>
  </si>
  <si>
    <t>37.0x (= peer median)</t>
  </si>
  <si>
    <t>37.0x = at peer median. PAT margins expanding but below peers on absolute basis. At-median appropriate given growth vs scale trade-off.</t>
  </si>
  <si>
    <t>CONFIDENTIAL  |  Project Lumina  |  FinOrbits IB Simulation Season 1  |  finorbits.com</t>
  </si>
  <si>
    <t>PROJECTIONS  —  FY2025E  |  FY2026E  |  FY2027E  |  FY2028E  |  FY2029E</t>
  </si>
  <si>
    <t>Enter assumptions in BLUE cells only. Every assumption must be justified in your Investment Memo. All projection years (FY2025E–FY2029E) are fully analyst-driven — no figures are pre-given. Refer to the CIM Analyst Guidance for reference points.</t>
  </si>
  <si>
    <t>SECTION 1 — KEY ASSUMPTIONS  (Blue = your inputs)</t>
  </si>
  <si>
    <t>FY2025E</t>
  </si>
  <si>
    <t>FY2026E</t>
  </si>
  <si>
    <t>FY2027E</t>
  </si>
  <si>
    <t>FY2028E</t>
  </si>
  <si>
    <t>FY2029E</t>
  </si>
  <si>
    <t>Basis of assumption</t>
  </si>
  <si>
    <t>AURA FY22-24 CAGR=41.4%. D2C wellness sector 19% CAGR (CIM). Tapering 30%→18% (FY25-29) for base effect and competition (Mamaearth, ITC YogaBar, 1200+ brands). Conservative; sector CAGR = floor.</t>
  </si>
  <si>
    <t>Historical 40%→43.8% (+380bps FY22-24). D2C channel premium +400-500bps. Protein (52%GM) lifts blended. Conservative ceiling 46.3%.</t>
  </si>
  <si>
    <t>Mgmt guidance 13%+ FY25 (CIM). +250bps/2yr from fixed-cost leverage. Peer Mamaearth 14-15%. 14.8% FY29 achievable.</t>
  </si>
  <si>
    <t>Historical D&amp;A 1.07-1.16% of rev. Asset-light (contract mfg). D&amp;A% declines as rev grows faster than fixed assets.</t>
  </si>
  <si>
    <t>25% per CIM. CIM Technical Note #1: apply 25% on PBT uniformly. No deviation basis.</t>
  </si>
  <si>
    <t>Capex not disclosed in CIM. Forward: asset-light model. 3.5-4% for Tier-2/3 logistics only (no mfg). Peak FY27 for expansion.</t>
  </si>
  <si>
    <t>Debtor Days</t>
  </si>
  <si>
    <t>CIM Key Risks: receivables ~36 days. 68% D2C = cash-advance. Gradual improvement to 32 days FY29. Formula: Rec/Rev×365.</t>
  </si>
  <si>
    <t>Creditor Days</t>
  </si>
  <si>
    <t>Derived FY24: Payables Rs.26Cr / COGS Rs.126Cr × 365 = 75.3 days. CIM Tech Note #2: COGS denominator. Slight stretch 75→78.</t>
  </si>
  <si>
    <t>CIM Key Risks states inventory ~50 days. Maintained FY25-26; improving to 46 FY29 via cold-chain efficiency. Formula: Inv/COGS×365.</t>
  </si>
  <si>
    <t>SECTION 2 — PROJECTED INCOME STATEMENT  (₹ Crore)</t>
  </si>
  <si>
    <t>Post-IPO Rs.30Cr repaid (CIM TxSummary). LTD Rs.42→Rs.12Cr. Kd=3.2/36.5=8.8%~9%. FY25:9%×12=Rs.1.1Cr. Gradual re-levering for Tier-2 expansion.</t>
  </si>
  <si>
    <t xml:space="preserve">  Tax</t>
  </si>
  <si>
    <t>SECTION 3 — WORKING CAPITAL SCHEDULE  (₹ Crore)</t>
  </si>
  <si>
    <t>Inventories  =  Revenue × Inventory Days / 365</t>
  </si>
  <si>
    <t>Formula: = Revenue x Inv Days / 365</t>
  </si>
  <si>
    <t>Trade Receivables  =  Revenue × Debtor Days / 365</t>
  </si>
  <si>
    <t>Formula: = Revenue x Debtor Days / 365</t>
  </si>
  <si>
    <t>Trade Payables  =  COGS × Creditor Days / 365</t>
  </si>
  <si>
    <t>Formula: = ABS(COGS) x Creditor Days / 365</t>
  </si>
  <si>
    <t>Net Working Capital  =  Inventories + Receivables − Payables</t>
  </si>
  <si>
    <t>Inventories + Receivables minus Payables</t>
  </si>
  <si>
    <t>Change in WC  =  Net WC(t) − Net WC(t−1)   ← link this row to DCF</t>
  </si>
  <si>
    <t>—</t>
  </si>
  <si>
    <t>Positive delta WC = cash outflow. Deduct in FCF.</t>
  </si>
  <si>
    <t>SECTION 4 — INTEREST EXPENSE ASSUMPTION</t>
  </si>
  <si>
    <t>Crore</t>
  </si>
  <si>
    <t>Interest Expense</t>
  </si>
  <si>
    <t>DCF VALUATION  —  DISCOUNTED CASH FLOW ANALYSIS</t>
  </si>
  <si>
    <t>SECTION 1 — WACC CALCULATION</t>
  </si>
  <si>
    <t>Component</t>
  </si>
  <si>
    <t>Value</t>
  </si>
  <si>
    <t>Notes</t>
  </si>
  <si>
    <t>Risk-Free Rate (10-yr G-Sec)</t>
  </si>
  <si>
    <t>India 10-yr G-Sec 7.20% — RBI.org.in, April 2026</t>
  </si>
  <si>
    <t>Damodaran India ERP 8.10% — stern.nyu.edu/~adamodar, Jan 2026 dataset</t>
  </si>
  <si>
    <t>Peer unlev. beta median 0.95 (Mamaearth,Bikaji,Emami,HindustanFoods,PatanjaliFoods). Re-levered at post-IPO D/E=0.021: BL=0.965. Small-cap premium added → 1.15</t>
  </si>
  <si>
    <t>Cost of Equity (CAPM)</t>
  </si>
  <si>
    <t xml:space="preserve"> = Rf + Beta x ERP. Auto-calculated.</t>
  </si>
  <si>
    <t>Cost of Debt (pre-tax)</t>
  </si>
  <si>
    <t>Derived: FY24 Int Rs.3.2Cr / Avg(31+42)/2=36.5Cr = 8.77%. Rounded 9.0%. CIM Tech Note #3.</t>
  </si>
  <si>
    <t>Tax Rate</t>
  </si>
  <si>
    <t>25% per CIM. CIM Technical Note #1.</t>
  </si>
  <si>
    <t>After-tax Cost of Debt</t>
  </si>
  <si>
    <t xml:space="preserve"> = Kd x (1-t). Auto-calculated.</t>
  </si>
  <si>
    <t>Debt Weight (D/V)</t>
  </si>
  <si>
    <t>Post-IPO LTD Rs.12Cr. Est. mkt cap Rs.600Cr+. D/V=12/612=1.96%. Used 17.5% conservatively for medium-term re-levering.</t>
  </si>
  <si>
    <t>Equity Weight (E/V)</t>
  </si>
  <si>
    <t>WACC</t>
  </si>
  <si>
    <t xml:space="preserve"> = Ke x (E/V) + Kd(1-t) x (D/V). Your discount rate.</t>
  </si>
  <si>
    <t>SECTION 2 — FREE CASH FLOW (FCFF)  |  FY2025E-FY2029E</t>
  </si>
  <si>
    <t>EBIT (from your Projections tab)</t>
  </si>
  <si>
    <t>(-) Tax on EBIT  =  EBIT x Tax Rate</t>
  </si>
  <si>
    <t>NOPAT  =  EBIT x (1 - Tax Rate)</t>
  </si>
  <si>
    <t>(+) D&amp;A  (add back)</t>
  </si>
  <si>
    <t>(-) Capex  (cash outflow)</t>
  </si>
  <si>
    <t>(-) Change in Working Capital</t>
  </si>
  <si>
    <t>FREE CASH FLOW TO FIRM (FCFF)</t>
  </si>
  <si>
    <t>PV Factor  =  1 / (1+WACC)^n</t>
  </si>
  <si>
    <t>Present Value of FCF</t>
  </si>
  <si>
    <t>GUIDANCE: Link EBIT and D&amp;A from your PROJECTIONS Income Statement. Capex = Revenue × Capex%. Change in Working Capital from your PROJECTIONS Working Capital Schedule. Note: FCF uses FCFF method — interest expense is excluded from the FCF build (it sits in the IS only).</t>
  </si>
  <si>
    <t>SECTION 3 — TERMINAL VALUE</t>
  </si>
  <si>
    <t>Item</t>
  </si>
  <si>
    <t>India nominal long-run GDP ~6.5% (real ~5%+CPI~4%-buffer). Strictly &lt; WACC 14.1%. Near-term sector growth (19%) NOT appropriate for TV (CIM guidance).</t>
  </si>
  <si>
    <t>Terminal Year FCFF (FY2029E)</t>
  </si>
  <si>
    <t>FY2029E FCFF linked from Section 2 row 27 col F above.</t>
  </si>
  <si>
    <t>Terminal Value  =  FCFF x (1+g) / (WACC-g)</t>
  </si>
  <si>
    <t>Gordon Growth Model: TV = Terminal FCFF × (1+g) / (WACC - g). Use your WACC and terminal growth inputs above.</t>
  </si>
  <si>
    <t>Discount Factor (Year 5)</t>
  </si>
  <si>
    <t xml:space="preserve"> = 1/(1+WACC)^5</t>
  </si>
  <si>
    <t>PV of Terminal Value</t>
  </si>
  <si>
    <t>Terminal Value × Discount Factor. Should be ~60-75% of total EV.</t>
  </si>
  <si>
    <t>SECTION 4 — EV TO EQUITY VALUE BRIDGE</t>
  </si>
  <si>
    <t>Sum of PV of FCFs (Years 1-5)</t>
  </si>
  <si>
    <t>Sum of PV FCF from Section 2 above</t>
  </si>
  <si>
    <t>(+) PV of Terminal Value</t>
  </si>
  <si>
    <t>Link from the PV of Terminal Value you calculated in Section 3 above.</t>
  </si>
  <si>
    <t>Enterprise Value (EV)</t>
  </si>
  <si>
    <t xml:space="preserve"> = Sum of above two rows</t>
  </si>
  <si>
    <t>(-) Net Debt</t>
  </si>
  <si>
    <t>POST-IPO: FY24 LTD Rs.42Cr-Cash Rs.28Cr=Rs.14Cr pre-IPO. Rs.30Cr repaid (CIM TxSummary)-&gt;LTD=Rs.12Cr. Post-IPO NetDebt=12-28=-Rs.16Cr (net cash). Net cash ADDS to equity value.</t>
  </si>
  <si>
    <t>Equity Value</t>
  </si>
  <si>
    <t xml:space="preserve"> = EV minus Net Debt</t>
  </si>
  <si>
    <t>Shares Outstanding (crore)</t>
  </si>
  <si>
    <t>Pre-filled. Do not change.</t>
  </si>
  <si>
    <t>Intrinsic Value Per Share (₹)</t>
  </si>
  <si>
    <t xml:space="preserve"> = Equity Value / Shares Outstanding</t>
  </si>
  <si>
    <t>Implied Price Band — Low (₹)</t>
  </si>
  <si>
    <t xml:space="preserve"> = Intrinsic Value x 0.9 (10% downside)</t>
  </si>
  <si>
    <t>Implied Price Band — High (₹)</t>
  </si>
  <si>
    <t xml:space="preserve"> = Intrinsic Value x 1.1 (10% upside)</t>
  </si>
  <si>
    <t>SECTION 5 — SENSITIVITY TABLE  (Implied Share Price ₹ per share)</t>
  </si>
  <si>
    <t>WACC  ↓  |  Terminal Growth  →</t>
  </si>
  <si>
    <t>Recalc manually</t>
  </si>
  <si>
    <t>HOW TO USE: Vary WACC and terminal growth rate manually. Each time, record the implied share price. Green = above base case. Red = below. This table shows how sensitive your valuation is to key assumptions.</t>
  </si>
  <si>
    <t>TRADING COMPARABLES  —  PEER GROUP ANALYSIS</t>
  </si>
  <si>
    <t>Company (Research &amp; Enter Your Own Peers)</t>
  </si>
  <si>
    <t>Mkt Cap (₹cr)</t>
  </si>
  <si>
    <t>EV (₹cr)</t>
  </si>
  <si>
    <t>Revenue (₹cr)</t>
  </si>
  <si>
    <t>EBITDA (₹cr)</t>
  </si>
  <si>
    <t>EV/Revenue</t>
  </si>
  <si>
    <t>EV/EBITDA</t>
  </si>
  <si>
    <t>P/E</t>
  </si>
  <si>
    <t>Rev Growth %</t>
  </si>
  <si>
    <t>Honasa Consumer (Mamaearth)</t>
  </si>
  <si>
    <t>Bikaji Foods International</t>
  </si>
  <si>
    <t>Hindustan Foods Ltd</t>
  </si>
  <si>
    <t>Emami Ltd</t>
  </si>
  <si>
    <t>Patanjali Foods Ltd</t>
  </si>
  <si>
    <t>PEER STATISTICS  —  Auto-calculated once you enter peer data above  (Median = base case | Lower Q = bear | Upper Q = bull)</t>
  </si>
  <si>
    <t>Metric</t>
  </si>
  <si>
    <t>Peer Median</t>
  </si>
  <si>
    <t>Peer Mean</t>
  </si>
  <si>
    <t>Lower Quartile</t>
  </si>
  <si>
    <t>Upper Quartile</t>
  </si>
  <si>
    <t>Revenue Growth</t>
  </si>
  <si>
    <t>Peer Selection Rationale (explain why each company is a relevant comparable for AURA — sector, growth profile, business model similarity)</t>
  </si>
  <si>
    <t>Mamaearth: D2C FMCG, 22% growth, brand-led — most direct comparable. Bikaji: premium Indian snack, similar consumer. Hindustan Foods: FMCG at lower scale. Emami: established health/wellness — mature multiple anchor. Patanjali Foods: Indian wellness brand. All NSE/BSE listed. Source: NSE/BSE market data and annual reports.</t>
  </si>
  <si>
    <t>AURA IMPLIED VALUATION  —  Enter your projected figures (blue cells)</t>
  </si>
  <si>
    <t>AURA Metric</t>
  </si>
  <si>
    <t>Your Value</t>
  </si>
  <si>
    <t>Implied EV at Peer Median Mult</t>
  </si>
  <si>
    <t>Implied Equity Value</t>
  </si>
  <si>
    <t>Per Share (₹)</t>
  </si>
  <si>
    <t>AURA FY2025E Revenue (₹cr)</t>
  </si>
  <si>
    <t>AURA FY2025E EBITDA (₹cr)</t>
  </si>
  <si>
    <t>AURA FY2025E PAT (₹cr)</t>
  </si>
  <si>
    <t>Net Debt (₹cr)</t>
  </si>
  <si>
    <t>Derive from FY2024 Balance Sheet: Long-Term Debt (42) minus Cash &amp; Equivalents (28) = 14 (pre-IPO). Post-IPO: Rs. 30 Cr of fresh issue proceeds repay debt, so Long-Term Debt falls to 12 and Net Debt = 12 − 28 = −16 (net cash). State clearly whether you are using pre-IPO or post-IPO net debt and justify your choice.</t>
  </si>
  <si>
    <t>Shares Outstanding (cr)</t>
  </si>
  <si>
    <t>AURA IMPLIED SHARE PRICE  —  Apply peer multiples to AURA projected financials</t>
  </si>
  <si>
    <t>Method</t>
  </si>
  <si>
    <t>Applied Multiple</t>
  </si>
  <si>
    <t>Implied EV (₹cr)</t>
  </si>
  <si>
    <t>(-) Net Debt (₹cr)</t>
  </si>
  <si>
    <t>Equity Value (₹cr)</t>
  </si>
  <si>
    <t>Shares (cr)</t>
  </si>
  <si>
    <t>Implied Price (₹/share)</t>
  </si>
  <si>
    <t>Notes / Approach</t>
  </si>
  <si>
    <t>EV / Revenue</t>
  </si>
  <si>
    <t>EV = AURA Revenue × Applied Multiple. Equity Value = EV − Net Debt. Implied Price = Equity Value ÷ Shares Outstanding.</t>
  </si>
  <si>
    <t>EV / EBITDA</t>
  </si>
  <si>
    <t>EV = AURA EBITDA × Applied Multiple. Equity Value = EV − Net Debt. Implied Price = Equity Value ÷ Shares Outstanding.</t>
  </si>
  <si>
    <t>P / E</t>
  </si>
  <si>
    <t>N/A</t>
  </si>
  <si>
    <t>P/E method: Equity Value = AURA PAT × Applied Multiple. No EV bridge needed. Implied Price = Equity Value ÷ Shares Outstanding.</t>
  </si>
  <si>
    <t>ANALYST COMMENTARY — Premium or Discount to Peers?</t>
  </si>
  <si>
    <t>AURA DESERVES A MODERATE PREMIUM to peer median multiples.
PREMIUM FACTORS: (1) Revenue CAGR 30% vs peer avg 15% — 2x sector growth; (2) 68% D2C mix = structural gross margin advantage +400-500bps vs trade-dependent peers; (3) NPS 72 vs FMCG avg 45 = documented brand loyalty moat; (4) Asset-light model = higher FCF conversion.
DISCOUNT FACTORS: (1) Smaller scale vs Mamaearth/Emami; (2) Founder concentration 61% = key-person risk; (3) Perishables cold-chain exposure; (4) RED FLAG: Debt 91% CAGR vs revenue 41% CAGR — contradicts asset-light narrative.
NET CONCLUSION: Applied EV/EBITDA 38x (~3% premium to 37x median). EV/Revenue 6.5x. P/E 37x = at median. SUBSCRIBE at band Rs.42-52.</t>
  </si>
  <si>
    <t>VALUATION SUMMARY  —  PROJECT LUMINA  |  FINAL RECOMMENDATION</t>
  </si>
  <si>
    <t>SECTION 1 — VALUATION OUTPUT SUMMARY</t>
  </si>
  <si>
    <t>Methodology</t>
  </si>
  <si>
    <t>Low (₹/share)</t>
  </si>
  <si>
    <t>Base Case (₹/share)</t>
  </si>
  <si>
    <t>High (₹/share)</t>
  </si>
  <si>
    <t>Weight %</t>
  </si>
  <si>
    <t>Weighted Value</t>
  </si>
  <si>
    <t>DCF Valuation</t>
  </si>
  <si>
    <t>Link from DCF tab, Section 4</t>
  </si>
  <si>
    <t>EV/EBITDA Comps</t>
  </si>
  <si>
    <t>From Comparables — EBITDA-based</t>
  </si>
  <si>
    <t>P/E Comps</t>
  </si>
  <si>
    <t>From Comparables — P/E based</t>
  </si>
  <si>
    <t>WEIGHTED AVERAGE</t>
  </si>
  <si>
    <t xml:space="preserve"> = Sum of (Base x Weight) each method</t>
  </si>
  <si>
    <t>SECTION 2 — FINAL RECOMMENDATION</t>
  </si>
  <si>
    <t>IPO Price Band Recommendation (₹/share)</t>
  </si>
  <si>
    <t>Low: Rs.40  |  High: Rs.52</t>
  </si>
  <si>
    <t>Recommendation</t>
  </si>
  <si>
    <t>SUBSCRIBE</t>
  </si>
  <si>
    <t>Upside / Downside to Mid-Band</t>
  </si>
  <si>
    <t>~15% upside at mid-band Rs.46 vs weighted base Rs.44.4</t>
  </si>
  <si>
    <t>Primary Valuation Method Used</t>
  </si>
  <si>
    <t>Blended — 50% DCF + 35% EV/EBITDA + 15% P/E</t>
  </si>
  <si>
    <t>Key Assumption Driving Valuation</t>
  </si>
  <si>
    <t>Revenue growth 30%→18% FY25-29; EBITDA margin 13%→14.8%; Post-IPO Rs.30Cr debt repayment improves ROCE</t>
  </si>
  <si>
    <t>One Key Risk to Your Thesis</t>
  </si>
  <si>
    <t>RED FLAG: Debt 91% CAGR vs revenue 41% CAGR contradicts asset-light narrative; Founder concentration 61%</t>
  </si>
  <si>
    <t>FOOTBALL FIELD VALUATION SUMMARY:
DCF:              Rs.38 (Low) — Rs.46 (Base) — Rs.55 (High)
EV/EBITDA Comps:  Rs.32 (Low) — Rs.44 (Base) — Rs.54 (High)
P/E Comps:        Rs.28 (Low) — Rs.39 (Base) — Rs.49 (High)
Weighted Base:    Rs.44.4
RECOMMENDED BAND: Rs.40 — Rs.52  |  SUBSCRIBE
(Chart: Insert &gt; Bar Chart &gt; Stacked Bar. X=share price Rs., Y=methodology. Vertical marker at Rs.46 mid-band in blue #4AACFF. Grey for others.)</t>
  </si>
  <si>
    <t>SECTION 3 — FOOTBALL FIELD CHART</t>
  </si>
  <si>
    <t>INSERT YOUR FOOTBALL FIELD CHART HERE
How to build it:
1. Create a horizontal bar chart (Insert &gt; Bar Chart &gt; Stacked Bar)
2. X-axis = Share price in ₹. Y-axis = 3 methodologies (DCF, EV/EBITDA, P/E)
3. Each bar shows the range from Low to High for that methodology
4. Add a vertical line or separate series for your recommended price band
5. Color: #4AACFF (blue) for your recommended band. Grey for others.
This is the visual centerpiece of your submission deck.</t>
  </si>
  <si>
    <t>Mukul Suyal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</si>
</sst>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\(#,##0.0\);\-"/>
    <numFmt numFmtId="165" formatCode="0.0%;\(0.0%\);\-"/>
    <numFmt numFmtId="166" formatCode="#,##0.0"/>
    <numFmt numFmtId="167" formatCode="0.00\x;\(0.00&quot;x)&quot;;\-"/>
    <numFmt numFmtId="168" formatCode="0.0\x;\(0.0&quot;x)&quot;;\-"/>
    <numFmt numFmtId="169" formatCode="0.0%"/>
    <numFmt numFmtId="170" formatCode="0.0000"/>
    <numFmt numFmtId="171" formatCode="0.00\x"/>
    <numFmt numFmtId="172" formatCode="0.0\x"/>
  </numFmts>
  <fonts count="64" x14ac:knownFonts="1">
    <font>
      <sz val="11"/>
      <color theme="1"/>
      <name val="Calibri"/>
      <family val="2"/>
      <charset val="1"/>
    </font>
    <font>
      <b/>
      <sz val="30"/>
      <color rgb="FF4AACFF"/>
      <name val="Arial"/>
      <family val="2"/>
      <charset val="1"/>
    </font>
    <font>
      <b/>
      <sz val="11"/>
      <color rgb="FFB0C4D8"/>
      <name val="Arial"/>
      <family val="2"/>
      <charset val="1"/>
    </font>
    <font>
      <b/>
      <sz val="9"/>
      <color rgb="FF94A3B8"/>
      <name val="Arial"/>
      <family val="2"/>
      <charset val="1"/>
    </font>
    <font>
      <b/>
      <sz val="10"/>
      <color rgb="FF1A2332"/>
      <name val="Arial"/>
      <family val="2"/>
      <charset val="1"/>
    </font>
    <font>
      <sz val="10"/>
      <color rgb="FF1D4ED8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0000FF"/>
      <name val="Arial"/>
      <family val="2"/>
      <charset val="1"/>
    </font>
    <font>
      <sz val="10"/>
      <color rgb="FF6B7280"/>
      <name val="Arial"/>
      <family val="2"/>
      <charset val="1"/>
    </font>
    <font>
      <b/>
      <sz val="10"/>
      <color rgb="FF008000"/>
      <name val="Arial"/>
      <family val="2"/>
      <charset val="1"/>
    </font>
    <font>
      <sz val="10"/>
      <color rgb="FF1A2332"/>
      <name val="Arial"/>
      <family val="2"/>
      <charset val="1"/>
    </font>
    <font>
      <b/>
      <i/>
      <sz val="9"/>
      <color rgb="FF92400E"/>
      <name val="Arial"/>
      <family val="2"/>
      <charset val="1"/>
    </font>
    <font>
      <i/>
      <sz val="8"/>
      <color rgb="FF8B9DB5"/>
      <name val="Calibri"/>
      <family val="2"/>
      <charset val="1"/>
    </font>
    <font>
      <b/>
      <sz val="14"/>
      <color rgb="FF4AACFF"/>
      <name val="Arial"/>
      <family val="2"/>
      <charset val="1"/>
    </font>
    <font>
      <b/>
      <i/>
      <sz val="9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6B728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1E3A5F"/>
      <name val="Arial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8"/>
      <color rgb="FF8B9DB5"/>
      <name val="Arial"/>
      <family val="2"/>
      <charset val="1"/>
    </font>
    <font>
      <b/>
      <sz val="10"/>
      <color rgb="FF9C0006"/>
      <name val="Calibri"/>
      <charset val="1"/>
    </font>
    <font>
      <b/>
      <sz val="14"/>
      <color rgb="FFFFFFFF"/>
      <name val="Arial"/>
      <family val="2"/>
      <charset val="1"/>
    </font>
    <font>
      <i/>
      <sz val="9"/>
      <color rgb="FF1A2332"/>
      <name val="Calibri"/>
      <family val="2"/>
      <charset val="1"/>
    </font>
    <font>
      <b/>
      <sz val="10"/>
      <color rgb="FF0070C0"/>
      <name val="Calibri"/>
      <charset val="1"/>
    </font>
    <font>
      <sz val="9"/>
      <color rgb="FF333333"/>
      <name val="Calibri"/>
      <charset val="1"/>
    </font>
    <font>
      <sz val="8"/>
      <color rgb="FF6B7280"/>
      <name val="Calibri"/>
      <family val="2"/>
      <charset val="1"/>
    </font>
    <font>
      <b/>
      <sz val="14"/>
      <color theme="0"/>
      <name val="Arial"/>
      <family val="2"/>
      <charset val="1"/>
    </font>
    <font>
      <b/>
      <sz val="14"/>
      <color rgb="FF4AACFF"/>
      <name val="Calibri"/>
      <family val="2"/>
      <charset val="1"/>
    </font>
    <font>
      <sz val="10"/>
      <color rgb="FF1D4ED8"/>
      <name val="Arial"/>
      <family val="2"/>
      <charset val="1"/>
    </font>
    <font>
      <i/>
      <sz val="9"/>
      <color rgb="FF1D4ED8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04080F"/>
      <name val="Arial"/>
      <family val="2"/>
      <charset val="1"/>
    </font>
    <font>
      <sz val="9"/>
      <color rgb="FF595959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1A2332"/>
      <name val="Calibri"/>
      <family val="2"/>
      <charset val="1"/>
    </font>
    <font>
      <sz val="10"/>
      <color theme="1"/>
      <name val="Calibri"/>
      <family val="2"/>
      <charset val="1"/>
    </font>
    <font>
      <i/>
      <sz val="9"/>
      <color rgb="FF9CA3AF"/>
      <name val="Calibri"/>
      <family val="2"/>
      <charset val="1"/>
    </font>
    <font>
      <b/>
      <sz val="10"/>
      <color rgb="FF04080F"/>
      <name val="Calibri"/>
      <family val="2"/>
      <charset val="1"/>
    </font>
    <font>
      <b/>
      <sz val="11"/>
      <color rgb="FF04080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0"/>
      <color rgb="FF065F46"/>
      <name val="Arial"/>
      <family val="2"/>
      <charset val="1"/>
    </font>
    <font>
      <b/>
      <i/>
      <sz val="9"/>
      <color rgb="FF6B7280"/>
      <name val="Arial"/>
      <family val="2"/>
      <charset val="1"/>
    </font>
    <font>
      <sz val="10"/>
      <color rgb="FF065F46"/>
      <name val="Arial"/>
      <family val="2"/>
      <charset val="1"/>
    </font>
    <font>
      <sz val="10"/>
      <color rgb="FF006100"/>
      <name val="Calibri"/>
      <charset val="1"/>
    </font>
    <font>
      <b/>
      <sz val="10"/>
      <color rgb="FF1E40AF"/>
      <name val="Arial"/>
      <family val="2"/>
      <charset val="1"/>
    </font>
    <font>
      <i/>
      <sz val="9"/>
      <color rgb="FF374151"/>
      <name val="Arial"/>
      <family val="2"/>
      <charset val="1"/>
    </font>
    <font>
      <b/>
      <sz val="11"/>
      <color rgb="FF065F46"/>
      <name val="Calibri"/>
      <family val="2"/>
      <charset val="1"/>
    </font>
    <font>
      <sz val="11"/>
      <color rgb="FF1A2332"/>
      <name val="Calibri"/>
      <family val="2"/>
      <charset val="1"/>
    </font>
    <font>
      <sz val="8"/>
      <color rgb="FF999999"/>
      <name val="Calibri"/>
      <charset val="1"/>
    </font>
    <font>
      <sz val="10"/>
      <color rgb="FF0070C0"/>
      <name val="Calibri"/>
      <charset val="1"/>
    </font>
    <font>
      <sz val="11"/>
      <color rgb="FF0000FF"/>
      <name val="Calibri"/>
      <family val="2"/>
      <charset val="1"/>
    </font>
    <font>
      <sz val="9"/>
      <name val="Calibri"/>
      <charset val="1"/>
    </font>
    <font>
      <sz val="9"/>
      <color rgb="FF6B7280"/>
      <name val="Arial"/>
      <family val="2"/>
      <charset val="1"/>
    </font>
    <font>
      <b/>
      <i/>
      <sz val="10"/>
      <color rgb="FFFFFFFF"/>
      <name val="Arial"/>
      <family val="2"/>
      <charset val="1"/>
    </font>
    <font>
      <i/>
      <sz val="9"/>
      <color rgb="FF6B7280"/>
      <name val="Calibri"/>
      <family val="2"/>
      <charset val="1"/>
    </font>
    <font>
      <i/>
      <sz val="9"/>
      <color rgb="FF8B9DB5"/>
      <name val="Arial"/>
      <family val="2"/>
      <charset val="1"/>
    </font>
    <font>
      <i/>
      <sz val="10"/>
      <color rgb="FF8B9DB5"/>
      <name val="Calibri"/>
      <family val="2"/>
      <charset val="1"/>
    </font>
    <font>
      <b/>
      <sz val="11"/>
      <color rgb="FF1E40AF"/>
      <name val="Calibri"/>
      <family val="2"/>
      <charset val="1"/>
    </font>
    <font>
      <i/>
      <sz val="10"/>
      <color rgb="FF374151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F2744"/>
        <bgColor rgb="FF1A2332"/>
      </patternFill>
    </fill>
    <fill>
      <patternFill patternType="solid">
        <fgColor rgb="FFFFFFFF"/>
        <bgColor rgb="FFF9FAFB"/>
      </patternFill>
    </fill>
    <fill>
      <patternFill patternType="solid">
        <fgColor rgb="FFF7FAFD"/>
        <bgColor rgb="FFF9FAFB"/>
      </patternFill>
    </fill>
    <fill>
      <patternFill patternType="solid">
        <fgColor rgb="FFEFF6FF"/>
        <bgColor rgb="FFF0F4F8"/>
      </patternFill>
    </fill>
    <fill>
      <patternFill patternType="solid">
        <fgColor rgb="FF1E3A5F"/>
        <bgColor rgb="FF1A3A5C"/>
      </patternFill>
    </fill>
    <fill>
      <patternFill patternType="solid">
        <fgColor rgb="FFFFFBEB"/>
        <bgColor rgb="FFF9FAFB"/>
      </patternFill>
    </fill>
    <fill>
      <patternFill patternType="solid">
        <fgColor rgb="FFB91C1C"/>
        <bgColor rgb="FF9C0006"/>
      </patternFill>
    </fill>
    <fill>
      <patternFill patternType="solid">
        <fgColor rgb="FF2E5082"/>
        <bgColor rgb="FF374151"/>
      </patternFill>
    </fill>
    <fill>
      <patternFill patternType="solid">
        <fgColor rgb="FFF0F4F8"/>
        <bgColor rgb="FFF3F4F6"/>
      </patternFill>
    </fill>
    <fill>
      <patternFill patternType="solid">
        <fgColor rgb="FFE8EDF4"/>
        <bgColor rgb="FFF0F4F8"/>
      </patternFill>
    </fill>
    <fill>
      <patternFill patternType="solid">
        <fgColor rgb="FFFFCCCC"/>
        <bgColor rgb="FFD1D5DB"/>
      </patternFill>
    </fill>
    <fill>
      <patternFill patternType="solid">
        <fgColor rgb="FF1A3A5C"/>
        <bgColor rgb="FF1E3A5F"/>
      </patternFill>
    </fill>
    <fill>
      <patternFill patternType="solid">
        <fgColor rgb="FFDDEEFF"/>
        <bgColor rgb="FFDBEAFE"/>
      </patternFill>
    </fill>
    <fill>
      <patternFill patternType="solid">
        <fgColor rgb="FFF9FAFB"/>
        <bgColor rgb="FFF7FAFD"/>
      </patternFill>
    </fill>
    <fill>
      <patternFill patternType="solid">
        <fgColor rgb="FFD1FAE5"/>
        <bgColor rgb="FFDDEEFF"/>
      </patternFill>
    </fill>
    <fill>
      <patternFill patternType="solid">
        <fgColor rgb="FFDBEAFE"/>
        <bgColor rgb="FFDDEEFF"/>
      </patternFill>
    </fill>
    <fill>
      <patternFill patternType="solid">
        <fgColor rgb="FFFEF3C7"/>
        <bgColor rgb="FFFFFBEB"/>
      </patternFill>
    </fill>
    <fill>
      <patternFill patternType="solid">
        <fgColor rgb="FFF3F4F6"/>
        <bgColor rgb="FFF0F4F8"/>
      </patternFill>
    </fill>
  </fills>
  <borders count="44">
    <border>
      <left/>
      <right/>
      <top/>
      <bottom/>
      <diagonal/>
    </border>
    <border>
      <left style="thin">
        <color rgb="FFCBD5E1"/>
      </left>
      <right/>
      <top/>
      <bottom style="thin">
        <color rgb="FF4AACFF"/>
      </bottom>
      <diagonal/>
    </border>
    <border>
      <left/>
      <right/>
      <top/>
      <bottom style="thin">
        <color rgb="FF4AAC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2E5082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2E5082"/>
      </bottom>
      <diagonal/>
    </border>
    <border>
      <left style="thin">
        <color rgb="FFD1D5DB"/>
      </left>
      <right style="thin">
        <color rgb="FFD1D5DB"/>
      </right>
      <top/>
      <bottom style="thin">
        <color auto="1"/>
      </bottom>
      <diagonal/>
    </border>
    <border>
      <left style="thin">
        <color rgb="FF2E5082"/>
      </left>
      <right style="thin">
        <color rgb="FFD1D5DB"/>
      </right>
      <top style="thin">
        <color rgb="FF2E5082"/>
      </top>
      <bottom style="thin">
        <color rgb="FFD1D5DB"/>
      </bottom>
      <diagonal/>
    </border>
    <border>
      <left style="thin">
        <color rgb="FFD1D5DB"/>
      </left>
      <right style="thin">
        <color rgb="FF2E5082"/>
      </right>
      <top style="thin">
        <color rgb="FF2E5082"/>
      </top>
      <bottom style="thin">
        <color rgb="FFD1D5DB"/>
      </bottom>
      <diagonal/>
    </border>
    <border>
      <left style="thin">
        <color rgb="FF2E5082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2E5082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0000FF"/>
      </bottom>
      <diagonal/>
    </border>
    <border>
      <left/>
      <right/>
      <top style="thin">
        <color rgb="FFD1D5DB"/>
      </top>
      <bottom style="thin">
        <color rgb="FF0000FF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2E5082"/>
      </right>
      <top/>
      <bottom style="thin">
        <color rgb="FFD1D5DB"/>
      </bottom>
      <diagonal/>
    </border>
    <border>
      <left style="thin">
        <color rgb="FF2E5082"/>
      </left>
      <right style="thin">
        <color rgb="FFD1D5DB"/>
      </right>
      <top style="thin">
        <color rgb="FFD1D5DB"/>
      </top>
      <bottom style="thin">
        <color rgb="FF2E5082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2E5082"/>
      </bottom>
      <diagonal/>
    </border>
    <border>
      <left style="thin">
        <color rgb="FFD1D5DB"/>
      </left>
      <right style="thin">
        <color rgb="FF2E5082"/>
      </right>
      <top style="thin">
        <color rgb="FFD1D5DB"/>
      </top>
      <bottom style="thin">
        <color rgb="FF2E5082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rgb="FFD1D5DB"/>
      </left>
      <right style="thin">
        <color auto="1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auto="1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auto="1"/>
      </bottom>
      <diagonal/>
    </border>
    <border>
      <left style="thin">
        <color rgb="FFD1D5DB"/>
      </left>
      <right style="thin">
        <color auto="1"/>
      </right>
      <top style="thin">
        <color rgb="FFD1D5DB"/>
      </top>
      <bottom style="thin">
        <color auto="1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auto="1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1D5DB"/>
      </bottom>
      <diagonal/>
    </border>
    <border>
      <left style="dashed">
        <color rgb="FF9CA3AF"/>
      </left>
      <right style="dashed">
        <color rgb="FF9CA3AF"/>
      </right>
      <top style="dashed">
        <color rgb="FF9CA3AF"/>
      </top>
      <bottom style="dashed">
        <color rgb="FF9CA3AF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1" fillId="7" borderId="9" xfId="0" applyFont="1" applyFill="1" applyBorder="1" applyAlignment="1">
      <alignment indent="1"/>
    </xf>
    <xf numFmtId="0" fontId="10" fillId="0" borderId="9" xfId="0" applyFont="1" applyBorder="1" applyAlignment="1">
      <alignment indent="1"/>
    </xf>
    <xf numFmtId="0" fontId="6" fillId="6" borderId="0" xfId="0" applyFont="1" applyFill="1" applyBorder="1" applyAlignment="1">
      <alignment horizontal="left" indent="1"/>
    </xf>
    <xf numFmtId="0" fontId="8" fillId="0" borderId="8" xfId="0" applyFont="1" applyBorder="1" applyAlignment="1"/>
    <xf numFmtId="0" fontId="8" fillId="0" borderId="5" xfId="0" applyFont="1" applyBorder="1" applyAlignment="1"/>
    <xf numFmtId="0" fontId="6" fillId="6" borderId="3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0" fontId="18" fillId="15" borderId="0" xfId="0" applyFont="1" applyFill="1" applyBorder="1" applyAlignment="1">
      <alignment horizontal="left" vertical="top" wrapText="1"/>
    </xf>
    <xf numFmtId="0" fontId="50" fillId="5" borderId="0" xfId="0" applyFont="1" applyFill="1" applyBorder="1" applyAlignment="1">
      <alignment horizontal="left" vertical="top" wrapText="1"/>
    </xf>
    <xf numFmtId="0" fontId="15" fillId="6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4" fillId="4" borderId="0" xfId="0" applyFont="1" applyFill="1" applyAlignment="1">
      <alignment horizontal="left" vertical="center"/>
    </xf>
    <xf numFmtId="0" fontId="0" fillId="4" borderId="0" xfId="0" applyFill="1" applyAlignment="1"/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0" fillId="3" borderId="0" xfId="0" applyFill="1" applyAlignment="1"/>
    <xf numFmtId="0" fontId="7" fillId="3" borderId="4" xfId="0" applyFont="1" applyFill="1" applyBorder="1" applyAlignment="1"/>
    <xf numFmtId="0" fontId="4" fillId="4" borderId="4" xfId="0" applyFont="1" applyFill="1" applyBorder="1" applyAlignment="1"/>
    <xf numFmtId="0" fontId="9" fillId="3" borderId="4" xfId="0" applyFont="1" applyFill="1" applyBorder="1" applyAlignment="1"/>
    <xf numFmtId="0" fontId="4" fillId="4" borderId="6" xfId="0" applyFont="1" applyFill="1" applyBorder="1" applyAlignment="1"/>
    <xf numFmtId="0" fontId="0" fillId="4" borderId="7" xfId="0" applyFill="1" applyBorder="1" applyAlignment="1"/>
    <xf numFmtId="0" fontId="16" fillId="9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/>
    </xf>
    <xf numFmtId="164" fontId="7" fillId="3" borderId="12" xfId="0" applyNumberFormat="1" applyFont="1" applyFill="1" applyBorder="1" applyAlignment="1">
      <alignment horizontal="right" vertical="center"/>
    </xf>
    <xf numFmtId="0" fontId="10" fillId="10" borderId="12" xfId="0" applyFont="1" applyFill="1" applyBorder="1" applyAlignment="1">
      <alignment horizontal="left" vertical="center" indent="1"/>
    </xf>
    <xf numFmtId="164" fontId="17" fillId="10" borderId="12" xfId="0" applyNumberFormat="1" applyFont="1" applyFill="1" applyBorder="1" applyAlignment="1">
      <alignment horizontal="right" vertical="center"/>
    </xf>
    <xf numFmtId="164" fontId="4" fillId="3" borderId="12" xfId="0" applyNumberFormat="1" applyFont="1" applyFill="1" applyBorder="1" applyAlignment="1">
      <alignment horizontal="right" vertical="center"/>
    </xf>
    <xf numFmtId="0" fontId="18" fillId="10" borderId="12" xfId="0" applyFont="1" applyFill="1" applyBorder="1" applyAlignment="1">
      <alignment horizontal="left" vertical="center" indent="1"/>
    </xf>
    <xf numFmtId="165" fontId="18" fillId="10" borderId="12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left" vertical="center"/>
    </xf>
    <xf numFmtId="164" fontId="7" fillId="10" borderId="13" xfId="0" applyNumberFormat="1" applyFont="1" applyFill="1" applyBorder="1" applyAlignment="1">
      <alignment horizontal="right" vertical="center"/>
    </xf>
    <xf numFmtId="0" fontId="18" fillId="3" borderId="13" xfId="0" applyFont="1" applyFill="1" applyBorder="1" applyAlignment="1">
      <alignment horizontal="left" vertical="center"/>
    </xf>
    <xf numFmtId="165" fontId="18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/>
    </xf>
    <xf numFmtId="164" fontId="17" fillId="3" borderId="13" xfId="0" applyNumberFormat="1" applyFont="1" applyFill="1" applyBorder="1" applyAlignment="1">
      <alignment horizontal="right" vertical="center"/>
    </xf>
    <xf numFmtId="0" fontId="4" fillId="10" borderId="12" xfId="0" applyFont="1" applyFill="1" applyBorder="1" applyAlignment="1">
      <alignment horizontal="left" vertical="center"/>
    </xf>
    <xf numFmtId="164" fontId="7" fillId="10" borderId="12" xfId="0" applyNumberFormat="1" applyFont="1" applyFill="1" applyBorder="1" applyAlignment="1">
      <alignment horizontal="right" vertical="center"/>
    </xf>
    <xf numFmtId="0" fontId="10" fillId="3" borderId="12" xfId="0" applyFont="1" applyFill="1" applyBorder="1" applyAlignment="1">
      <alignment horizontal="left" vertical="center" indent="1"/>
    </xf>
    <xf numFmtId="166" fontId="0" fillId="0" borderId="0" xfId="0" applyNumberFormat="1" applyAlignment="1"/>
    <xf numFmtId="164" fontId="17" fillId="3" borderId="12" xfId="0" applyNumberFormat="1" applyFont="1" applyFill="1" applyBorder="1" applyAlignment="1">
      <alignment horizontal="right" vertical="center"/>
    </xf>
    <xf numFmtId="0" fontId="18" fillId="3" borderId="12" xfId="0" applyFont="1" applyFill="1" applyBorder="1" applyAlignment="1">
      <alignment horizontal="left" vertical="center" indent="1"/>
    </xf>
    <xf numFmtId="165" fontId="18" fillId="3" borderId="1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/>
    </xf>
    <xf numFmtId="0" fontId="19" fillId="3" borderId="0" xfId="0" applyFont="1" applyFill="1" applyAlignment="1"/>
    <xf numFmtId="0" fontId="20" fillId="11" borderId="12" xfId="0" applyFont="1" applyFill="1" applyBorder="1" applyAlignment="1">
      <alignment horizontal="left" vertical="center"/>
    </xf>
    <xf numFmtId="0" fontId="20" fillId="11" borderId="12" xfId="0" applyFont="1" applyFill="1" applyBorder="1" applyAlignment="1">
      <alignment horizontal="right" vertical="center"/>
    </xf>
    <xf numFmtId="0" fontId="4" fillId="10" borderId="12" xfId="0" applyFont="1" applyFill="1" applyBorder="1" applyAlignment="1">
      <alignment horizontal="left" vertical="center" indent="1"/>
    </xf>
    <xf numFmtId="164" fontId="4" fillId="10" borderId="12" xfId="0" applyNumberFormat="1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left" vertical="center"/>
    </xf>
    <xf numFmtId="164" fontId="4" fillId="3" borderId="14" xfId="0" applyNumberFormat="1" applyFont="1" applyFill="1" applyBorder="1" applyAlignment="1">
      <alignment horizontal="right" vertical="center"/>
    </xf>
    <xf numFmtId="0" fontId="21" fillId="3" borderId="0" xfId="0" applyFont="1" applyFill="1" applyAlignment="1"/>
    <xf numFmtId="0" fontId="6" fillId="3" borderId="0" xfId="0" applyFont="1" applyFill="1" applyAlignment="1">
      <alignment horizontal="center"/>
    </xf>
    <xf numFmtId="0" fontId="4" fillId="3" borderId="12" xfId="0" applyFont="1" applyFill="1" applyBorder="1" applyAlignment="1">
      <alignment horizontal="left" vertical="center" wrapText="1"/>
    </xf>
    <xf numFmtId="165" fontId="4" fillId="3" borderId="12" xfId="0" applyNumberFormat="1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left" vertical="center" wrapText="1"/>
    </xf>
    <xf numFmtId="165" fontId="4" fillId="10" borderId="12" xfId="0" applyNumberFormat="1" applyFont="1" applyFill="1" applyBorder="1" applyAlignment="1">
      <alignment horizontal="center" vertical="center" wrapText="1"/>
    </xf>
    <xf numFmtId="167" fontId="4" fillId="3" borderId="12" xfId="0" applyNumberFormat="1" applyFont="1" applyFill="1" applyBorder="1" applyAlignment="1">
      <alignment horizontal="center" vertical="center" wrapText="1"/>
    </xf>
    <xf numFmtId="168" fontId="4" fillId="10" borderId="12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165" fontId="4" fillId="3" borderId="15" xfId="0" applyNumberFormat="1" applyFont="1" applyFill="1" applyBorder="1" applyAlignment="1">
      <alignment horizontal="center" vertical="center" wrapText="1"/>
    </xf>
    <xf numFmtId="0" fontId="22" fillId="10" borderId="16" xfId="0" applyFont="1" applyFill="1" applyBorder="1" applyAlignment="1"/>
    <xf numFmtId="0" fontId="0" fillId="10" borderId="16" xfId="0" applyFill="1" applyBorder="1" applyAlignment="1"/>
    <xf numFmtId="0" fontId="12" fillId="3" borderId="0" xfId="0" applyFont="1" applyFill="1" applyAlignment="1">
      <alignment horizontal="center"/>
    </xf>
    <xf numFmtId="0" fontId="24" fillId="12" borderId="0" xfId="0" applyFont="1" applyFill="1" applyAlignment="1">
      <alignment vertical="top" wrapText="1"/>
    </xf>
    <xf numFmtId="0" fontId="6" fillId="9" borderId="17" xfId="0" applyFont="1" applyFill="1" applyBorder="1" applyAlignment="1">
      <alignment horizontal="left"/>
    </xf>
    <xf numFmtId="0" fontId="6" fillId="9" borderId="11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wrapText="1"/>
    </xf>
    <xf numFmtId="0" fontId="27" fillId="5" borderId="12" xfId="0" applyFont="1" applyFill="1" applyBorder="1" applyAlignment="1">
      <alignment vertical="top" wrapText="1"/>
    </xf>
    <xf numFmtId="0" fontId="28" fillId="5" borderId="20" xfId="0" applyFont="1" applyFill="1" applyBorder="1" applyAlignment="1">
      <alignment vertical="top" wrapText="1"/>
    </xf>
    <xf numFmtId="0" fontId="4" fillId="10" borderId="19" xfId="0" applyFont="1" applyFill="1" applyBorder="1" applyAlignment="1">
      <alignment wrapText="1"/>
    </xf>
    <xf numFmtId="0" fontId="4" fillId="10" borderId="19" xfId="0" applyFont="1" applyFill="1" applyBorder="1" applyAlignment="1">
      <alignment horizontal="left" wrapText="1"/>
    </xf>
    <xf numFmtId="0" fontId="27" fillId="5" borderId="21" xfId="0" applyFont="1" applyFill="1" applyBorder="1" applyAlignment="1">
      <alignment vertical="top" wrapText="1"/>
    </xf>
    <xf numFmtId="0" fontId="28" fillId="5" borderId="22" xfId="0" applyFont="1" applyFill="1" applyBorder="1" applyAlignment="1">
      <alignment vertical="top" wrapText="1"/>
    </xf>
    <xf numFmtId="0" fontId="27" fillId="5" borderId="23" xfId="0" applyFont="1" applyFill="1" applyBorder="1" applyAlignment="1">
      <alignment vertical="top" wrapText="1"/>
    </xf>
    <xf numFmtId="0" fontId="28" fillId="5" borderId="24" xfId="0" applyFont="1" applyFill="1" applyBorder="1" applyAlignment="1">
      <alignment vertical="top" wrapText="1"/>
    </xf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31" fillId="2" borderId="0" xfId="0" applyFont="1" applyFill="1" applyAlignment="1">
      <alignment horizontal="center"/>
    </xf>
    <xf numFmtId="0" fontId="33" fillId="5" borderId="0" xfId="0" applyFont="1" applyFill="1" applyAlignment="1"/>
    <xf numFmtId="0" fontId="21" fillId="6" borderId="0" xfId="0" applyFont="1" applyFill="1" applyAlignment="1"/>
    <xf numFmtId="0" fontId="16" fillId="9" borderId="12" xfId="0" applyFont="1" applyFill="1" applyBorder="1" applyAlignment="1">
      <alignment horizontal="center" vertical="center" wrapText="1"/>
    </xf>
    <xf numFmtId="0" fontId="34" fillId="6" borderId="12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/>
    </xf>
    <xf numFmtId="0" fontId="35" fillId="10" borderId="12" xfId="0" applyFont="1" applyFill="1" applyBorder="1" applyAlignment="1">
      <alignment horizontal="left" vertical="center" wrapText="1"/>
    </xf>
    <xf numFmtId="169" fontId="27" fillId="14" borderId="12" xfId="0" applyNumberFormat="1" applyFont="1" applyFill="1" applyBorder="1" applyAlignment="1">
      <alignment horizontal="center" vertical="center"/>
    </xf>
    <xf numFmtId="0" fontId="36" fillId="10" borderId="12" xfId="0" applyFont="1" applyFill="1" applyBorder="1" applyAlignment="1">
      <alignment vertical="top" wrapText="1"/>
    </xf>
    <xf numFmtId="0" fontId="35" fillId="3" borderId="12" xfId="0" applyFont="1" applyFill="1" applyBorder="1" applyAlignment="1">
      <alignment horizontal="left" vertical="center" wrapText="1"/>
    </xf>
    <xf numFmtId="0" fontId="36" fillId="3" borderId="12" xfId="0" applyFont="1" applyFill="1" applyBorder="1" applyAlignment="1">
      <alignment vertical="top" wrapText="1"/>
    </xf>
    <xf numFmtId="3" fontId="27" fillId="14" borderId="12" xfId="0" applyNumberFormat="1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left" vertical="center" indent="1"/>
    </xf>
    <xf numFmtId="166" fontId="37" fillId="3" borderId="12" xfId="0" applyNumberFormat="1" applyFont="1" applyFill="1" applyBorder="1" applyAlignment="1">
      <alignment horizontal="center" vertical="center"/>
    </xf>
    <xf numFmtId="164" fontId="10" fillId="10" borderId="12" xfId="0" applyNumberFormat="1" applyFont="1" applyFill="1" applyBorder="1" applyAlignment="1">
      <alignment horizontal="right" vertical="center"/>
    </xf>
    <xf numFmtId="166" fontId="38" fillId="10" borderId="12" xfId="0" applyNumberFormat="1" applyFont="1" applyFill="1" applyBorder="1" applyAlignment="1">
      <alignment horizontal="center" vertical="center"/>
    </xf>
    <xf numFmtId="169" fontId="10" fillId="10" borderId="12" xfId="0" applyNumberFormat="1" applyFont="1" applyFill="1" applyBorder="1" applyAlignment="1">
      <alignment horizontal="center" vertical="center" wrapText="1"/>
    </xf>
    <xf numFmtId="169" fontId="38" fillId="10" borderId="12" xfId="0" applyNumberFormat="1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left" vertical="center"/>
    </xf>
    <xf numFmtId="166" fontId="37" fillId="10" borderId="12" xfId="0" applyNumberFormat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left" vertical="center"/>
    </xf>
    <xf numFmtId="169" fontId="10" fillId="3" borderId="12" xfId="0" applyNumberFormat="1" applyFont="1" applyFill="1" applyBorder="1" applyAlignment="1">
      <alignment horizontal="center" vertical="center"/>
    </xf>
    <xf numFmtId="169" fontId="38" fillId="3" borderId="12" xfId="0" applyNumberFormat="1" applyFont="1" applyFill="1" applyBorder="1" applyAlignment="1">
      <alignment horizontal="center" vertical="center"/>
    </xf>
    <xf numFmtId="164" fontId="10" fillId="3" borderId="12" xfId="0" applyNumberFormat="1" applyFont="1" applyFill="1" applyBorder="1" applyAlignment="1">
      <alignment horizontal="right" vertical="center"/>
    </xf>
    <xf numFmtId="166" fontId="38" fillId="3" borderId="12" xfId="0" applyNumberFormat="1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left" vertical="center" indent="1"/>
    </xf>
    <xf numFmtId="166" fontId="27" fillId="14" borderId="12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top" wrapText="1"/>
    </xf>
    <xf numFmtId="169" fontId="10" fillId="3" borderId="12" xfId="0" applyNumberFormat="1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39" fillId="3" borderId="31" xfId="0" applyFont="1" applyFill="1" applyBorder="1" applyAlignment="1"/>
    <xf numFmtId="164" fontId="40" fillId="3" borderId="12" xfId="0" applyNumberFormat="1" applyFont="1" applyFill="1" applyBorder="1" applyAlignment="1">
      <alignment horizontal="right"/>
    </xf>
    <xf numFmtId="166" fontId="38" fillId="3" borderId="32" xfId="0" applyNumberFormat="1" applyFont="1" applyFill="1" applyBorder="1" applyAlignment="1">
      <alignment horizontal="center" vertical="center"/>
    </xf>
    <xf numFmtId="0" fontId="41" fillId="15" borderId="0" xfId="0" applyFont="1" applyFill="1" applyAlignment="1">
      <alignment wrapText="1"/>
    </xf>
    <xf numFmtId="0" fontId="39" fillId="10" borderId="31" xfId="0" applyFont="1" applyFill="1" applyBorder="1" applyAlignment="1"/>
    <xf numFmtId="164" fontId="40" fillId="10" borderId="12" xfId="0" applyNumberFormat="1" applyFont="1" applyFill="1" applyBorder="1" applyAlignment="1">
      <alignment horizontal="right"/>
    </xf>
    <xf numFmtId="166" fontId="38" fillId="10" borderId="32" xfId="0" applyNumberFormat="1" applyFont="1" applyFill="1" applyBorder="1" applyAlignment="1">
      <alignment horizontal="center" vertical="center"/>
    </xf>
    <xf numFmtId="0" fontId="42" fillId="10" borderId="31" xfId="0" applyFont="1" applyFill="1" applyBorder="1" applyAlignment="1"/>
    <xf numFmtId="164" fontId="42" fillId="10" borderId="12" xfId="0" applyNumberFormat="1" applyFont="1" applyFill="1" applyBorder="1" applyAlignment="1">
      <alignment horizontal="right"/>
    </xf>
    <xf numFmtId="166" fontId="37" fillId="10" borderId="32" xfId="0" applyNumberFormat="1" applyFont="1" applyFill="1" applyBorder="1" applyAlignment="1">
      <alignment horizontal="center" vertical="center"/>
    </xf>
    <xf numFmtId="0" fontId="42" fillId="3" borderId="33" xfId="0" applyFont="1" applyFill="1" applyBorder="1" applyAlignment="1"/>
    <xf numFmtId="0" fontId="43" fillId="3" borderId="34" xfId="0" applyFont="1" applyFill="1" applyBorder="1" applyAlignment="1">
      <alignment horizontal="center"/>
    </xf>
    <xf numFmtId="164" fontId="43" fillId="3" borderId="34" xfId="0" applyNumberFormat="1" applyFont="1" applyFill="1" applyBorder="1" applyAlignment="1">
      <alignment horizontal="right"/>
    </xf>
    <xf numFmtId="166" fontId="38" fillId="3" borderId="34" xfId="0" applyNumberFormat="1" applyFont="1" applyFill="1" applyBorder="1" applyAlignment="1">
      <alignment horizontal="center" vertical="center"/>
    </xf>
    <xf numFmtId="166" fontId="38" fillId="3" borderId="35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39" fillId="10" borderId="0" xfId="0" applyFont="1" applyFill="1" applyAlignment="1"/>
    <xf numFmtId="164" fontId="0" fillId="10" borderId="0" xfId="0" applyNumberFormat="1" applyFill="1" applyAlignment="1">
      <alignment horizontal="right"/>
    </xf>
    <xf numFmtId="166" fontId="27" fillId="14" borderId="0" xfId="0" applyNumberFormat="1" applyFont="1" applyFill="1" applyAlignment="1">
      <alignment horizontal="center" vertical="center"/>
    </xf>
    <xf numFmtId="0" fontId="44" fillId="10" borderId="0" xfId="0" applyFont="1" applyFill="1" applyAlignment="1">
      <alignment horizontal="right"/>
    </xf>
    <xf numFmtId="0" fontId="12" fillId="2" borderId="0" xfId="0" applyFont="1" applyFill="1" applyAlignment="1">
      <alignment horizontal="center"/>
    </xf>
    <xf numFmtId="0" fontId="10" fillId="10" borderId="12" xfId="0" applyFont="1" applyFill="1" applyBorder="1" applyAlignment="1">
      <alignment horizontal="left" vertical="center" wrapText="1"/>
    </xf>
    <xf numFmtId="0" fontId="0" fillId="10" borderId="12" xfId="0" applyFill="1" applyBorder="1" applyAlignment="1"/>
    <xf numFmtId="0" fontId="10" fillId="3" borderId="12" xfId="0" applyFont="1" applyFill="1" applyBorder="1" applyAlignment="1">
      <alignment horizontal="left" vertical="center" wrapText="1"/>
    </xf>
    <xf numFmtId="0" fontId="0" fillId="3" borderId="12" xfId="0" applyFill="1" applyBorder="1" applyAlignment="1"/>
    <xf numFmtId="2" fontId="27" fillId="14" borderId="12" xfId="0" applyNumberFormat="1" applyFont="1" applyFill="1" applyBorder="1" applyAlignment="1">
      <alignment horizontal="center" vertical="center"/>
    </xf>
    <xf numFmtId="169" fontId="45" fillId="16" borderId="12" xfId="0" applyNumberFormat="1" applyFont="1" applyFill="1" applyBorder="1" applyAlignment="1">
      <alignment horizontal="center" vertical="center" wrapText="1"/>
    </xf>
    <xf numFmtId="0" fontId="46" fillId="3" borderId="12" xfId="0" applyFont="1" applyFill="1" applyBorder="1" applyAlignment="1">
      <alignment horizontal="left" vertical="center" wrapText="1"/>
    </xf>
    <xf numFmtId="0" fontId="22" fillId="3" borderId="12" xfId="0" applyFont="1" applyFill="1" applyBorder="1" applyAlignment="1"/>
    <xf numFmtId="169" fontId="47" fillId="16" borderId="12" xfId="0" applyNumberFormat="1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left" vertical="center" wrapText="1"/>
    </xf>
    <xf numFmtId="166" fontId="48" fillId="3" borderId="12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 wrapText="1"/>
    </xf>
    <xf numFmtId="164" fontId="7" fillId="10" borderId="12" xfId="0" applyNumberFormat="1" applyFont="1" applyFill="1" applyBorder="1" applyAlignment="1">
      <alignment horizontal="center" vertical="center" wrapText="1"/>
    </xf>
    <xf numFmtId="166" fontId="48" fillId="10" borderId="12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 wrapText="1"/>
    </xf>
    <xf numFmtId="170" fontId="38" fillId="10" borderId="12" xfId="0" applyNumberFormat="1" applyFont="1" applyFill="1" applyBorder="1" applyAlignment="1">
      <alignment horizontal="center" vertical="center"/>
    </xf>
    <xf numFmtId="166" fontId="37" fillId="17" borderId="12" xfId="0" applyNumberFormat="1" applyFont="1" applyFill="1" applyBorder="1" applyAlignment="1">
      <alignment horizontal="center" vertical="center"/>
    </xf>
    <xf numFmtId="164" fontId="49" fillId="17" borderId="12" xfId="0" applyNumberFormat="1" applyFont="1" applyFill="1" applyBorder="1" applyAlignment="1">
      <alignment horizontal="center" vertical="center" wrapText="1"/>
    </xf>
    <xf numFmtId="166" fontId="37" fillId="18" borderId="12" xfId="0" applyNumberFormat="1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left" vertical="center" wrapText="1"/>
    </xf>
    <xf numFmtId="0" fontId="46" fillId="10" borderId="12" xfId="0" applyFont="1" applyFill="1" applyBorder="1" applyAlignment="1">
      <alignment horizontal="left" vertical="center" wrapText="1"/>
    </xf>
    <xf numFmtId="0" fontId="22" fillId="10" borderId="12" xfId="0" applyFont="1" applyFill="1" applyBorder="1" applyAlignment="1"/>
    <xf numFmtId="164" fontId="10" fillId="3" borderId="12" xfId="0" applyNumberFormat="1" applyFont="1" applyFill="1" applyBorder="1" applyAlignment="1">
      <alignment horizontal="center" vertical="center" wrapText="1"/>
    </xf>
    <xf numFmtId="4" fontId="37" fillId="10" borderId="12" xfId="0" applyNumberFormat="1" applyFont="1" applyFill="1" applyBorder="1" applyAlignment="1">
      <alignment horizontal="center" vertical="center"/>
    </xf>
    <xf numFmtId="0" fontId="45" fillId="16" borderId="12" xfId="0" applyFont="1" applyFill="1" applyBorder="1" applyAlignment="1">
      <alignment horizontal="left" vertical="center" wrapText="1"/>
    </xf>
    <xf numFmtId="4" fontId="38" fillId="16" borderId="12" xfId="0" applyNumberFormat="1" applyFont="1" applyFill="1" applyBorder="1" applyAlignment="1">
      <alignment horizontal="center" vertical="center"/>
    </xf>
    <xf numFmtId="0" fontId="46" fillId="16" borderId="12" xfId="0" applyFont="1" applyFill="1" applyBorder="1" applyAlignment="1">
      <alignment horizontal="left" vertical="center" wrapText="1"/>
    </xf>
    <xf numFmtId="0" fontId="51" fillId="16" borderId="12" xfId="0" applyFont="1" applyFill="1" applyBorder="1" applyAlignment="1"/>
    <xf numFmtId="0" fontId="16" fillId="13" borderId="12" xfId="0" applyFont="1" applyFill="1" applyBorder="1" applyAlignment="1">
      <alignment horizontal="center" vertical="center" wrapText="1"/>
    </xf>
    <xf numFmtId="169" fontId="16" fillId="13" borderId="12" xfId="0" applyNumberFormat="1" applyFont="1" applyFill="1" applyBorder="1" applyAlignment="1">
      <alignment horizontal="center" vertical="center" wrapText="1"/>
    </xf>
    <xf numFmtId="169" fontId="16" fillId="13" borderId="36" xfId="0" applyNumberFormat="1" applyFont="1" applyFill="1" applyBorder="1" applyAlignment="1">
      <alignment horizontal="center" vertical="center" wrapText="1"/>
    </xf>
    <xf numFmtId="0" fontId="52" fillId="3" borderId="0" xfId="0" applyFont="1" applyFill="1" applyAlignment="1"/>
    <xf numFmtId="0" fontId="53" fillId="5" borderId="12" xfId="0" applyFont="1" applyFill="1" applyBorder="1" applyAlignment="1">
      <alignment horizontal="center"/>
    </xf>
    <xf numFmtId="0" fontId="53" fillId="5" borderId="3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6" fillId="9" borderId="12" xfId="0" applyFont="1" applyFill="1" applyBorder="1" applyAlignment="1">
      <alignment horizontal="left" vertical="center" wrapText="1"/>
    </xf>
    <xf numFmtId="0" fontId="37" fillId="3" borderId="12" xfId="0" applyFont="1" applyFill="1" applyBorder="1" applyAlignment="1">
      <alignment horizontal="left" vertical="center"/>
    </xf>
    <xf numFmtId="3" fontId="54" fillId="3" borderId="12" xfId="0" applyNumberFormat="1" applyFont="1" applyFill="1" applyBorder="1" applyAlignment="1">
      <alignment horizontal="center" vertical="center"/>
    </xf>
    <xf numFmtId="171" fontId="54" fillId="3" borderId="12" xfId="0" applyNumberFormat="1" applyFont="1" applyFill="1" applyBorder="1" applyAlignment="1">
      <alignment horizontal="center" vertical="center"/>
    </xf>
    <xf numFmtId="172" fontId="54" fillId="3" borderId="12" xfId="0" applyNumberFormat="1" applyFont="1" applyFill="1" applyBorder="1" applyAlignment="1">
      <alignment horizontal="center" vertical="center"/>
    </xf>
    <xf numFmtId="169" fontId="54" fillId="3" borderId="12" xfId="0" applyNumberFormat="1" applyFont="1" applyFill="1" applyBorder="1" applyAlignment="1">
      <alignment horizontal="center" vertical="center"/>
    </xf>
    <xf numFmtId="0" fontId="37" fillId="10" borderId="12" xfId="0" applyFont="1" applyFill="1" applyBorder="1" applyAlignment="1">
      <alignment horizontal="left" vertical="center"/>
    </xf>
    <xf numFmtId="3" fontId="54" fillId="10" borderId="12" xfId="0" applyNumberFormat="1" applyFont="1" applyFill="1" applyBorder="1" applyAlignment="1">
      <alignment horizontal="center" vertical="center"/>
    </xf>
    <xf numFmtId="171" fontId="54" fillId="10" borderId="12" xfId="0" applyNumberFormat="1" applyFont="1" applyFill="1" applyBorder="1" applyAlignment="1">
      <alignment horizontal="center" vertical="center"/>
    </xf>
    <xf numFmtId="172" fontId="54" fillId="10" borderId="12" xfId="0" applyNumberFormat="1" applyFont="1" applyFill="1" applyBorder="1" applyAlignment="1">
      <alignment horizontal="center" vertical="center"/>
    </xf>
    <xf numFmtId="169" fontId="54" fillId="10" borderId="12" xfId="0" applyNumberFormat="1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171" fontId="37" fillId="3" borderId="12" xfId="0" applyNumberFormat="1" applyFont="1" applyFill="1" applyBorder="1" applyAlignment="1">
      <alignment horizontal="center" vertical="center"/>
    </xf>
    <xf numFmtId="171" fontId="38" fillId="3" borderId="12" xfId="0" applyNumberFormat="1" applyFont="1" applyFill="1" applyBorder="1" applyAlignment="1">
      <alignment horizontal="center" vertical="center"/>
    </xf>
    <xf numFmtId="0" fontId="0" fillId="3" borderId="39" xfId="0" applyFill="1" applyBorder="1" applyAlignment="1"/>
    <xf numFmtId="172" fontId="37" fillId="10" borderId="12" xfId="0" applyNumberFormat="1" applyFont="1" applyFill="1" applyBorder="1" applyAlignment="1">
      <alignment horizontal="center" vertical="center"/>
    </xf>
    <xf numFmtId="172" fontId="38" fillId="10" borderId="12" xfId="0" applyNumberFormat="1" applyFont="1" applyFill="1" applyBorder="1" applyAlignment="1">
      <alignment horizontal="center" vertical="center"/>
    </xf>
    <xf numFmtId="172" fontId="37" fillId="3" borderId="12" xfId="0" applyNumberFormat="1" applyFont="1" applyFill="1" applyBorder="1" applyAlignment="1">
      <alignment horizontal="center" vertical="center"/>
    </xf>
    <xf numFmtId="172" fontId="38" fillId="3" borderId="12" xfId="0" applyNumberFormat="1" applyFont="1" applyFill="1" applyBorder="1" applyAlignment="1">
      <alignment horizontal="center" vertical="center"/>
    </xf>
    <xf numFmtId="169" fontId="37" fillId="10" borderId="12" xfId="0" applyNumberFormat="1" applyFont="1" applyFill="1" applyBorder="1" applyAlignment="1">
      <alignment horizontal="center" vertical="center"/>
    </xf>
    <xf numFmtId="169" fontId="37" fillId="3" borderId="12" xfId="0" applyNumberFormat="1" applyFont="1" applyFill="1" applyBorder="1" applyAlignment="1">
      <alignment horizontal="center" vertical="center"/>
    </xf>
    <xf numFmtId="0" fontId="0" fillId="3" borderId="40" xfId="0" applyFill="1" applyBorder="1" applyAlignment="1"/>
    <xf numFmtId="0" fontId="0" fillId="3" borderId="23" xfId="0" applyFill="1" applyBorder="1" applyAlignment="1"/>
    <xf numFmtId="0" fontId="0" fillId="3" borderId="0" xfId="0" applyFont="1" applyFill="1" applyAlignment="1">
      <alignment horizontal="left"/>
    </xf>
    <xf numFmtId="0" fontId="55" fillId="5" borderId="0" xfId="0" applyFont="1" applyFill="1" applyAlignment="1">
      <alignment wrapText="1"/>
    </xf>
    <xf numFmtId="0" fontId="16" fillId="3" borderId="31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46" fillId="3" borderId="12" xfId="0" applyFont="1" applyFill="1" applyBorder="1" applyAlignment="1">
      <alignment horizontal="center" vertical="center" wrapText="1"/>
    </xf>
    <xf numFmtId="0" fontId="35" fillId="10" borderId="31" xfId="0" applyFont="1" applyFill="1" applyBorder="1" applyAlignment="1">
      <alignment horizontal="left" vertical="center" wrapText="1"/>
    </xf>
    <xf numFmtId="166" fontId="48" fillId="5" borderId="12" xfId="0" applyNumberFormat="1" applyFont="1" applyFill="1" applyBorder="1" applyAlignment="1">
      <alignment horizontal="center" vertical="center"/>
    </xf>
    <xf numFmtId="0" fontId="0" fillId="10" borderId="12" xfId="0" applyFill="1" applyBorder="1" applyAlignment="1">
      <alignment wrapText="1"/>
    </xf>
    <xf numFmtId="0" fontId="35" fillId="3" borderId="31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wrapText="1"/>
    </xf>
    <xf numFmtId="0" fontId="57" fillId="3" borderId="12" xfId="0" applyFont="1" applyFill="1" applyBorder="1" applyAlignment="1">
      <alignment horizontal="left" vertical="center" wrapText="1"/>
    </xf>
    <xf numFmtId="164" fontId="47" fillId="16" borderId="12" xfId="0" applyNumberFormat="1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left" vertical="center" wrapText="1"/>
    </xf>
    <xf numFmtId="164" fontId="16" fillId="9" borderId="29" xfId="0" applyNumberFormat="1" applyFont="1" applyFill="1" applyBorder="1" applyAlignment="1">
      <alignment horizontal="center" vertical="center" wrapText="1"/>
    </xf>
    <xf numFmtId="0" fontId="58" fillId="9" borderId="29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wrapText="1"/>
    </xf>
    <xf numFmtId="172" fontId="27" fillId="14" borderId="12" xfId="0" applyNumberFormat="1" applyFont="1" applyFill="1" applyBorder="1" applyAlignment="1">
      <alignment horizontal="center" vertical="center"/>
    </xf>
    <xf numFmtId="0" fontId="40" fillId="3" borderId="12" xfId="0" applyFont="1" applyFill="1" applyBorder="1" applyAlignment="1">
      <alignment horizontal="center"/>
    </xf>
    <xf numFmtId="4" fontId="37" fillId="3" borderId="12" xfId="0" applyNumberFormat="1" applyFont="1" applyFill="1" applyBorder="1" applyAlignment="1">
      <alignment horizontal="center" vertical="center"/>
    </xf>
    <xf numFmtId="0" fontId="59" fillId="15" borderId="12" xfId="0" applyFont="1" applyFill="1" applyBorder="1" applyAlignment="1">
      <alignment wrapText="1"/>
    </xf>
    <xf numFmtId="0" fontId="0" fillId="3" borderId="32" xfId="0" applyFill="1" applyBorder="1" applyAlignment="1"/>
    <xf numFmtId="0" fontId="40" fillId="10" borderId="12" xfId="0" applyFont="1" applyFill="1" applyBorder="1" applyAlignment="1">
      <alignment horizontal="center"/>
    </xf>
    <xf numFmtId="0" fontId="0" fillId="10" borderId="32" xfId="0" applyFill="1" applyBorder="1" applyAlignment="1"/>
    <xf numFmtId="0" fontId="35" fillId="3" borderId="33" xfId="0" applyFont="1" applyFill="1" applyBorder="1" applyAlignment="1">
      <alignment horizontal="left" vertical="center" wrapText="1"/>
    </xf>
    <xf numFmtId="172" fontId="27" fillId="14" borderId="34" xfId="0" applyNumberFormat="1" applyFont="1" applyFill="1" applyBorder="1" applyAlignment="1">
      <alignment horizontal="center" vertical="center"/>
    </xf>
    <xf numFmtId="0" fontId="60" fillId="3" borderId="34" xfId="0" applyFont="1" applyFill="1" applyBorder="1" applyAlignment="1">
      <alignment horizontal="right" vertical="center" wrapText="1"/>
    </xf>
    <xf numFmtId="0" fontId="61" fillId="3" borderId="34" xfId="0" applyFont="1" applyFill="1" applyBorder="1" applyAlignment="1">
      <alignment horizontal="right"/>
    </xf>
    <xf numFmtId="166" fontId="37" fillId="3" borderId="34" xfId="0" applyNumberFormat="1" applyFont="1" applyFill="1" applyBorder="1" applyAlignment="1">
      <alignment horizontal="center" vertical="center"/>
    </xf>
    <xf numFmtId="0" fontId="40" fillId="3" borderId="34" xfId="0" applyFont="1" applyFill="1" applyBorder="1" applyAlignment="1">
      <alignment horizontal="center"/>
    </xf>
    <xf numFmtId="4" fontId="37" fillId="3" borderId="34" xfId="0" applyNumberFormat="1" applyFont="1" applyFill="1" applyBorder="1" applyAlignment="1">
      <alignment horizontal="center" vertical="center"/>
    </xf>
    <xf numFmtId="0" fontId="59" fillId="15" borderId="34" xfId="0" applyFont="1" applyFill="1" applyBorder="1" applyAlignment="1">
      <alignment wrapText="1"/>
    </xf>
    <xf numFmtId="0" fontId="0" fillId="3" borderId="34" xfId="0" applyFill="1" applyBorder="1" applyAlignment="1"/>
    <xf numFmtId="0" fontId="0" fillId="3" borderId="35" xfId="0" applyFill="1" applyBorder="1" applyAlignment="1"/>
    <xf numFmtId="0" fontId="35" fillId="3" borderId="0" xfId="0" applyFont="1" applyFill="1" applyAlignment="1">
      <alignment horizontal="left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0" fontId="60" fillId="3" borderId="0" xfId="0" applyFont="1" applyFill="1" applyAlignment="1">
      <alignment horizontal="left" vertical="center" wrapText="1"/>
    </xf>
    <xf numFmtId="4" fontId="27" fillId="14" borderId="12" xfId="0" applyNumberFormat="1" applyFont="1" applyFill="1" applyBorder="1" applyAlignment="1">
      <alignment horizontal="center" vertical="center"/>
    </xf>
    <xf numFmtId="4" fontId="38" fillId="10" borderId="12" xfId="0" applyNumberFormat="1" applyFont="1" applyFill="1" applyBorder="1" applyAlignment="1">
      <alignment horizontal="center" vertical="center"/>
    </xf>
    <xf numFmtId="4" fontId="38" fillId="3" borderId="12" xfId="0" applyNumberFormat="1" applyFont="1" applyFill="1" applyBorder="1" applyAlignment="1">
      <alignment horizontal="center" vertical="center"/>
    </xf>
    <xf numFmtId="0" fontId="49" fillId="17" borderId="12" xfId="0" applyFont="1" applyFill="1" applyBorder="1" applyAlignment="1">
      <alignment horizontal="left" vertical="center" wrapText="1"/>
    </xf>
    <xf numFmtId="4" fontId="37" fillId="17" borderId="12" xfId="0" applyNumberFormat="1" applyFont="1" applyFill="1" applyBorder="1" applyAlignment="1">
      <alignment horizontal="center" vertical="center"/>
    </xf>
    <xf numFmtId="169" fontId="38" fillId="17" borderId="12" xfId="0" applyNumberFormat="1" applyFont="1" applyFill="1" applyBorder="1" applyAlignment="1">
      <alignment horizontal="center" vertical="center"/>
    </xf>
    <xf numFmtId="0" fontId="46" fillId="17" borderId="12" xfId="0" applyFont="1" applyFill="1" applyBorder="1" applyAlignment="1">
      <alignment horizontal="left" vertical="center" wrapText="1"/>
    </xf>
    <xf numFmtId="0" fontId="62" fillId="17" borderId="12" xfId="0" applyFont="1" applyFill="1" applyBorder="1" applyAlignment="1"/>
    <xf numFmtId="0" fontId="56" fillId="3" borderId="0" xfId="0" applyFont="1" applyFill="1" applyAlignment="1">
      <alignment vertical="top" wrapText="1"/>
    </xf>
    <xf numFmtId="0" fontId="11" fillId="7" borderId="10" xfId="0" applyFont="1" applyFill="1" applyBorder="1" applyAlignment="1">
      <alignment indent="1"/>
    </xf>
    <xf numFmtId="0" fontId="12" fillId="2" borderId="0" xfId="0" applyFont="1" applyFill="1" applyBorder="1" applyAlignment="1">
      <alignment horizontal="center"/>
    </xf>
    <xf numFmtId="0" fontId="14" fillId="8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/>
    <xf numFmtId="0" fontId="26" fillId="5" borderId="0" xfId="0" applyFont="1" applyFill="1" applyBorder="1" applyAlignment="1">
      <alignment wrapText="1"/>
    </xf>
    <xf numFmtId="0" fontId="16" fillId="6" borderId="19" xfId="0" applyFont="1" applyFill="1" applyBorder="1" applyAlignment="1">
      <alignment horizontal="left"/>
    </xf>
    <xf numFmtId="0" fontId="29" fillId="0" borderId="0" xfId="0" applyFont="1" applyBorder="1" applyAlignment="1">
      <alignment horizontal="center"/>
    </xf>
    <xf numFmtId="0" fontId="30" fillId="2" borderId="0" xfId="0" applyFont="1" applyFill="1" applyBorder="1" applyAlignment="1">
      <alignment horizontal="center" vertical="center" wrapText="1"/>
    </xf>
    <xf numFmtId="0" fontId="32" fillId="5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0" fillId="3" borderId="37" xfId="0" applyFill="1" applyBorder="1" applyAlignment="1"/>
    <xf numFmtId="0" fontId="15" fillId="6" borderId="28" xfId="0" applyFont="1" applyFill="1" applyBorder="1" applyAlignment="1">
      <alignment horizontal="center" vertical="center"/>
    </xf>
    <xf numFmtId="0" fontId="56" fillId="6" borderId="41" xfId="0" applyFont="1" applyFill="1" applyBorder="1" applyAlignment="1">
      <alignment vertical="top" wrapText="1"/>
    </xf>
    <xf numFmtId="0" fontId="16" fillId="9" borderId="28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left" vertical="center"/>
    </xf>
    <xf numFmtId="0" fontId="15" fillId="6" borderId="42" xfId="0" applyFont="1" applyFill="1" applyBorder="1" applyAlignment="1">
      <alignment horizontal="left" vertical="center"/>
    </xf>
    <xf numFmtId="0" fontId="56" fillId="7" borderId="35" xfId="0" applyFont="1" applyFill="1" applyBorder="1" applyAlignment="1">
      <alignment vertical="top" wrapText="1"/>
    </xf>
    <xf numFmtId="0" fontId="37" fillId="5" borderId="12" xfId="0" applyFont="1" applyFill="1" applyBorder="1" applyAlignment="1">
      <alignment vertical="top" wrapText="1"/>
    </xf>
    <xf numFmtId="0" fontId="27" fillId="5" borderId="12" xfId="0" applyFont="1" applyFill="1" applyBorder="1" applyAlignment="1">
      <alignment vertical="top" wrapText="1"/>
    </xf>
    <xf numFmtId="0" fontId="38" fillId="5" borderId="12" xfId="0" applyFont="1" applyFill="1" applyBorder="1" applyAlignment="1">
      <alignment vertical="top" wrapText="1"/>
    </xf>
    <xf numFmtId="0" fontId="63" fillId="19" borderId="4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3F4F6"/>
      <rgbColor rgb="FFFF00FF"/>
      <rgbColor rgb="FF00FFFF"/>
      <rgbColor rgb="FF9C0006"/>
      <rgbColor rgb="FF008000"/>
      <rgbColor rgb="FF04080F"/>
      <rgbColor rgb="FF595959"/>
      <rgbColor rgb="FF7C3AED"/>
      <rgbColor rgb="FF0F766E"/>
      <rgbColor rgb="FFB0C4D8"/>
      <rgbColor rgb="FF8B9DB5"/>
      <rgbColor rgb="FF94A3B8"/>
      <rgbColor rgb="FFB91C1C"/>
      <rgbColor rgb="FFFEF3C7"/>
      <rgbColor rgb="FFDDEEFF"/>
      <rgbColor rgb="FF374151"/>
      <rgbColor rgb="FFEFF6FF"/>
      <rgbColor rgb="FF0070C0"/>
      <rgbColor rgb="FFCBD5E1"/>
      <rgbColor rgb="FF1E3A5F"/>
      <rgbColor rgb="FFFF00FF"/>
      <rgbColor rgb="FFF0F4F8"/>
      <rgbColor rgb="FF00FFFF"/>
      <rgbColor rgb="FF006100"/>
      <rgbColor rgb="FF0F5132"/>
      <rgbColor rgb="FF065F46"/>
      <rgbColor rgb="FF0000FF"/>
      <rgbColor rgb="FF00CCFF"/>
      <rgbColor rgb="FFDBEAFE"/>
      <rgbColor rgb="FFD1FAE5"/>
      <rgbColor rgb="FFFFFBEB"/>
      <rgbColor rgb="FFD1D5DB"/>
      <rgbColor rgb="FFE8EDF4"/>
      <rgbColor rgb="FF9CA3AF"/>
      <rgbColor rgb="FFFFCCCC"/>
      <rgbColor rgb="FF1D4ED8"/>
      <rgbColor rgb="FF4AACFF"/>
      <rgbColor rgb="FFF7FAFD"/>
      <rgbColor rgb="FFF9FAFB"/>
      <rgbColor rgb="FFFF9900"/>
      <rgbColor rgb="FFFF6600"/>
      <rgbColor rgb="FF6B7280"/>
      <rgbColor rgb="FF999999"/>
      <rgbColor rgb="FF1A3A5C"/>
      <rgbColor rgb="FF2E5082"/>
      <rgbColor rgb="FF0F2744"/>
      <rgbColor rgb="FF1A2332"/>
      <rgbColor rgb="FF92400E"/>
      <rgbColor rgb="FFB45309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080F"/>
  </sheetPr>
  <dimension ref="A1:H37"/>
  <sheetViews>
    <sheetView showGridLines="0" tabSelected="1" zoomScale="60" zoomScaleNormal="60" workbookViewId="0">
      <selection activeCell="C36" sqref="C36"/>
    </sheetView>
  </sheetViews>
  <sheetFormatPr defaultColWidth="8.609375" defaultRowHeight="15" x14ac:dyDescent="0.2"/>
  <cols>
    <col min="1" max="1" width="29.59375" style="15" customWidth="1"/>
    <col min="2" max="2" width="3.62890625" style="15" customWidth="1"/>
    <col min="3" max="8" width="24.078125" style="15" customWidth="1"/>
  </cols>
  <sheetData>
    <row r="1" spans="1:8" ht="51.75" customHeight="1" x14ac:dyDescent="0.2">
      <c r="A1" s="9" t="s">
        <v>0</v>
      </c>
      <c r="B1" s="9"/>
      <c r="C1" s="9"/>
      <c r="D1" s="9"/>
      <c r="E1" s="9"/>
      <c r="F1" s="9"/>
      <c r="G1" s="9"/>
      <c r="H1" s="9"/>
    </row>
    <row r="2" spans="1:8" ht="12" customHeight="1" x14ac:dyDescent="0.2">
      <c r="A2" s="16"/>
      <c r="B2" s="16"/>
      <c r="C2" s="16"/>
      <c r="D2" s="16"/>
      <c r="E2" s="16"/>
      <c r="F2" s="16"/>
      <c r="G2" s="16"/>
      <c r="H2" s="16"/>
    </row>
    <row r="3" spans="1:8" ht="12" customHeight="1" x14ac:dyDescent="0.2">
      <c r="A3" s="16"/>
      <c r="B3" s="16"/>
      <c r="C3" s="16"/>
      <c r="D3" s="16"/>
      <c r="E3" s="16"/>
      <c r="F3" s="16"/>
      <c r="G3" s="16"/>
      <c r="H3" s="16"/>
    </row>
    <row r="4" spans="1:8" ht="19.5" customHeight="1" x14ac:dyDescent="0.2">
      <c r="A4" s="16"/>
      <c r="B4" s="16"/>
      <c r="C4" s="16"/>
      <c r="D4" s="16"/>
      <c r="E4" s="16"/>
      <c r="F4" s="16"/>
      <c r="G4" s="16"/>
      <c r="H4" s="16"/>
    </row>
    <row r="5" spans="1:8" ht="24" customHeight="1" x14ac:dyDescent="0.2">
      <c r="A5" s="8" t="s">
        <v>1</v>
      </c>
      <c r="B5" s="8"/>
      <c r="C5" s="8"/>
      <c r="D5" s="8"/>
      <c r="E5" s="8"/>
      <c r="F5" s="8"/>
      <c r="G5" s="8"/>
      <c r="H5" s="8"/>
    </row>
    <row r="6" spans="1:8" ht="9.75" customHeight="1" x14ac:dyDescent="0.2">
      <c r="A6" s="16"/>
      <c r="B6" s="16"/>
      <c r="C6" s="16"/>
      <c r="D6" s="16"/>
      <c r="E6" s="16"/>
      <c r="F6" s="16"/>
      <c r="G6" s="16"/>
      <c r="H6" s="16"/>
    </row>
    <row r="7" spans="1:8" ht="9.75" customHeight="1" x14ac:dyDescent="0.2">
      <c r="A7" s="16"/>
      <c r="B7" s="16"/>
      <c r="C7" s="16"/>
      <c r="D7" s="16"/>
      <c r="E7" s="16"/>
      <c r="F7" s="16"/>
      <c r="G7" s="16"/>
      <c r="H7" s="16"/>
    </row>
    <row r="8" spans="1:8" ht="19.5" customHeight="1" x14ac:dyDescent="0.2">
      <c r="A8" s="7" t="s">
        <v>2</v>
      </c>
      <c r="B8" s="7"/>
      <c r="C8" s="7"/>
      <c r="D8" s="7"/>
      <c r="E8" s="7"/>
      <c r="F8" s="7"/>
      <c r="G8" s="7"/>
      <c r="H8" s="7"/>
    </row>
    <row r="9" spans="1:8" ht="27.75" customHeight="1" x14ac:dyDescent="0.2">
      <c r="A9" s="17" t="s">
        <v>3</v>
      </c>
      <c r="B9" s="18"/>
      <c r="C9" s="19" t="s">
        <v>341</v>
      </c>
      <c r="D9" s="20"/>
      <c r="E9" s="20"/>
      <c r="F9" s="20"/>
      <c r="G9" s="20"/>
      <c r="H9" s="20"/>
    </row>
    <row r="10" spans="1:8" ht="7.5" customHeight="1" x14ac:dyDescent="0.2"/>
    <row r="11" spans="1:8" ht="27.75" customHeight="1" x14ac:dyDescent="0.2">
      <c r="A11" s="17" t="s">
        <v>4</v>
      </c>
      <c r="B11" s="18"/>
      <c r="C11" s="19" t="s">
        <v>5</v>
      </c>
      <c r="D11" s="20"/>
      <c r="E11" s="20"/>
      <c r="F11" s="20"/>
      <c r="G11" s="20"/>
      <c r="H11" s="20"/>
    </row>
    <row r="12" spans="1:8" ht="7.5" customHeight="1" x14ac:dyDescent="0.2"/>
    <row r="13" spans="1:8" ht="27.75" customHeight="1" x14ac:dyDescent="0.2">
      <c r="A13" s="17" t="s">
        <v>6</v>
      </c>
      <c r="B13" s="18"/>
      <c r="C13" s="19" t="s">
        <v>7</v>
      </c>
      <c r="D13" s="20"/>
      <c r="E13" s="20"/>
      <c r="F13" s="20"/>
      <c r="G13" s="20"/>
      <c r="H13" s="20"/>
    </row>
    <row r="14" spans="1:8" ht="12" customHeight="1" x14ac:dyDescent="0.2"/>
    <row r="15" spans="1:8" ht="7.5" customHeight="1" x14ac:dyDescent="0.2"/>
    <row r="16" spans="1:8" ht="3.75" customHeight="1" x14ac:dyDescent="0.2">
      <c r="A16" s="21"/>
      <c r="B16" s="21"/>
      <c r="C16" s="21"/>
      <c r="D16" s="21"/>
      <c r="E16" s="21"/>
      <c r="F16" s="21"/>
      <c r="G16" s="21"/>
      <c r="H16" s="21"/>
    </row>
    <row r="17" spans="1:8" ht="21.75" customHeight="1" x14ac:dyDescent="0.2">
      <c r="A17" s="6" t="s">
        <v>8</v>
      </c>
      <c r="B17" s="6"/>
      <c r="C17" s="6"/>
      <c r="D17" s="6"/>
      <c r="E17" s="6"/>
      <c r="F17" s="6"/>
      <c r="G17" s="6"/>
      <c r="H17" s="6"/>
    </row>
    <row r="18" spans="1:8" ht="19.5" customHeight="1" x14ac:dyDescent="0.2">
      <c r="A18" s="22" t="s">
        <v>9</v>
      </c>
      <c r="B18" s="21"/>
      <c r="C18" s="5" t="s">
        <v>10</v>
      </c>
      <c r="D18" s="5"/>
      <c r="E18" s="5"/>
      <c r="F18" s="5"/>
      <c r="G18" s="5"/>
      <c r="H18" s="5"/>
    </row>
    <row r="19" spans="1:8" ht="19.5" customHeight="1" x14ac:dyDescent="0.2">
      <c r="A19" s="23" t="s">
        <v>11</v>
      </c>
      <c r="B19" s="18"/>
      <c r="C19" s="5" t="s">
        <v>12</v>
      </c>
      <c r="D19" s="5"/>
      <c r="E19" s="5"/>
      <c r="F19" s="5"/>
      <c r="G19" s="5"/>
      <c r="H19" s="5"/>
    </row>
    <row r="20" spans="1:8" ht="19.5" customHeight="1" x14ac:dyDescent="0.2">
      <c r="A20" s="24" t="s">
        <v>13</v>
      </c>
      <c r="B20" s="21"/>
      <c r="C20" s="5" t="s">
        <v>14</v>
      </c>
      <c r="D20" s="5"/>
      <c r="E20" s="5"/>
      <c r="F20" s="5"/>
      <c r="G20" s="5"/>
      <c r="H20" s="5"/>
    </row>
    <row r="21" spans="1:8" ht="19.5" customHeight="1" x14ac:dyDescent="0.2">
      <c r="A21" s="25" t="s">
        <v>15</v>
      </c>
      <c r="B21" s="26"/>
      <c r="C21" s="4" t="s">
        <v>16</v>
      </c>
      <c r="D21" s="4"/>
      <c r="E21" s="4"/>
      <c r="F21" s="4"/>
      <c r="G21" s="4"/>
      <c r="H21" s="4"/>
    </row>
    <row r="22" spans="1:8" ht="7.5" customHeight="1" x14ac:dyDescent="0.2"/>
    <row r="23" spans="1:8" ht="21.75" customHeight="1" x14ac:dyDescent="0.2">
      <c r="A23" s="3" t="s">
        <v>17</v>
      </c>
      <c r="B23" s="3"/>
      <c r="C23" s="3"/>
      <c r="D23" s="3"/>
      <c r="E23" s="3"/>
      <c r="F23" s="3"/>
      <c r="G23" s="3"/>
      <c r="H23" s="3"/>
    </row>
    <row r="24" spans="1:8" ht="19.5" customHeight="1" x14ac:dyDescent="0.2">
      <c r="A24" s="2" t="s">
        <v>18</v>
      </c>
      <c r="B24" s="2"/>
      <c r="C24" s="2"/>
      <c r="D24" s="2"/>
      <c r="E24" s="2"/>
      <c r="F24" s="2"/>
      <c r="G24" s="2"/>
      <c r="H24" s="2"/>
    </row>
    <row r="25" spans="1:8" ht="19.5" customHeight="1" x14ac:dyDescent="0.2">
      <c r="A25" s="2" t="s">
        <v>19</v>
      </c>
      <c r="B25" s="2"/>
      <c r="C25" s="2"/>
      <c r="D25" s="2"/>
      <c r="E25" s="2"/>
      <c r="F25" s="2"/>
      <c r="G25" s="2"/>
      <c r="H25" s="2"/>
    </row>
    <row r="26" spans="1:8" ht="19.5" customHeight="1" x14ac:dyDescent="0.2">
      <c r="A26" s="2" t="s">
        <v>20</v>
      </c>
      <c r="B26" s="2"/>
      <c r="C26" s="2"/>
      <c r="D26" s="2"/>
      <c r="E26" s="2"/>
      <c r="F26" s="2"/>
      <c r="G26" s="2"/>
      <c r="H26" s="2"/>
    </row>
    <row r="27" spans="1:8" ht="19.5" customHeight="1" x14ac:dyDescent="0.2">
      <c r="A27" s="2" t="s">
        <v>21</v>
      </c>
      <c r="B27" s="2"/>
      <c r="C27" s="2"/>
      <c r="D27" s="2"/>
      <c r="E27" s="2"/>
      <c r="F27" s="2"/>
      <c r="G27" s="2"/>
      <c r="H27" s="2"/>
    </row>
    <row r="28" spans="1:8" ht="19.5" customHeight="1" x14ac:dyDescent="0.2">
      <c r="A28" s="2" t="s">
        <v>22</v>
      </c>
      <c r="B28" s="2"/>
      <c r="C28" s="2"/>
      <c r="D28" s="2"/>
      <c r="E28" s="2"/>
      <c r="F28" s="2"/>
      <c r="G28" s="2"/>
      <c r="H28" s="2"/>
    </row>
    <row r="29" spans="1:8" ht="18" customHeight="1" x14ac:dyDescent="0.2">
      <c r="A29" s="1" t="s">
        <v>23</v>
      </c>
      <c r="B29" s="1"/>
      <c r="C29" s="1"/>
      <c r="D29" s="1"/>
      <c r="E29" s="1"/>
      <c r="F29" s="1"/>
      <c r="G29" s="1"/>
      <c r="H29" s="1"/>
    </row>
    <row r="30" spans="1:8" ht="18" customHeight="1" x14ac:dyDescent="0.2">
      <c r="A30" s="245" t="s">
        <v>24</v>
      </c>
      <c r="B30" s="245"/>
      <c r="C30" s="245"/>
      <c r="D30" s="245"/>
      <c r="E30" s="245"/>
      <c r="F30" s="245"/>
      <c r="G30" s="245"/>
      <c r="H30" s="245"/>
    </row>
    <row r="31" spans="1:8" ht="9.75" customHeight="1" x14ac:dyDescent="0.2"/>
    <row r="32" spans="1:8" ht="19.5" customHeight="1" x14ac:dyDescent="0.2">
      <c r="A32" s="246" t="s">
        <v>25</v>
      </c>
      <c r="B32" s="246"/>
      <c r="C32" s="246"/>
      <c r="D32" s="246"/>
      <c r="E32" s="246"/>
      <c r="F32" s="246"/>
      <c r="G32" s="246"/>
      <c r="H32" s="246"/>
    </row>
    <row r="33" ht="18" customHeight="1" x14ac:dyDescent="0.2"/>
    <row r="34" ht="7.5" customHeight="1" x14ac:dyDescent="0.2"/>
    <row r="35" ht="7.5" customHeight="1" x14ac:dyDescent="0.2"/>
    <row r="36" ht="18" customHeight="1" x14ac:dyDescent="0.2"/>
    <row r="37" ht="18" customHeight="1" x14ac:dyDescent="0.2"/>
  </sheetData>
  <mergeCells count="17">
    <mergeCell ref="A30:H30"/>
    <mergeCell ref="A32:H32"/>
    <mergeCell ref="A25:H25"/>
    <mergeCell ref="A26:H26"/>
    <mergeCell ref="A27:H27"/>
    <mergeCell ref="A28:H28"/>
    <mergeCell ref="A29:H29"/>
    <mergeCell ref="C19:H19"/>
    <mergeCell ref="C20:H20"/>
    <mergeCell ref="C21:H21"/>
    <mergeCell ref="A23:H23"/>
    <mergeCell ref="A24:H24"/>
    <mergeCell ref="A1:H1"/>
    <mergeCell ref="A5:H5"/>
    <mergeCell ref="A8:H8"/>
    <mergeCell ref="A17:H17"/>
    <mergeCell ref="C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A5C"/>
  </sheetPr>
  <dimension ref="A1:G53"/>
  <sheetViews>
    <sheetView showGridLines="0" topLeftCell="A2" zoomScale="87" zoomScaleNormal="87" workbookViewId="0">
      <selection activeCell="G17" sqref="G17"/>
    </sheetView>
  </sheetViews>
  <sheetFormatPr defaultColWidth="8.609375" defaultRowHeight="15" x14ac:dyDescent="0.2"/>
  <cols>
    <col min="1" max="1" width="38.875" style="15" customWidth="1"/>
    <col min="2" max="3" width="15.73828125" style="15" customWidth="1"/>
    <col min="4" max="4" width="17.62109375" style="15" customWidth="1"/>
  </cols>
  <sheetData>
    <row r="1" spans="1:4" ht="39.75" customHeight="1" x14ac:dyDescent="0.2">
      <c r="A1" s="14" t="s">
        <v>26</v>
      </c>
      <c r="B1" s="14"/>
      <c r="C1" s="14"/>
      <c r="D1" s="14"/>
    </row>
    <row r="2" spans="1:4" ht="7.5" customHeight="1" x14ac:dyDescent="0.2">
      <c r="A2" s="14"/>
      <c r="B2" s="14"/>
      <c r="C2" s="14"/>
      <c r="D2" s="14"/>
    </row>
    <row r="3" spans="1:4" ht="7.5" customHeight="1" x14ac:dyDescent="0.2">
      <c r="A3" s="14"/>
      <c r="B3" s="14"/>
      <c r="C3" s="14"/>
      <c r="D3" s="14"/>
    </row>
    <row r="4" spans="1:4" ht="7.5" customHeight="1" x14ac:dyDescent="0.2">
      <c r="A4" s="14"/>
      <c r="B4" s="14"/>
      <c r="C4" s="14"/>
      <c r="D4" s="14"/>
    </row>
    <row r="5" spans="1:4" ht="21.75" customHeight="1" x14ac:dyDescent="0.2">
      <c r="A5" s="247" t="s">
        <v>27</v>
      </c>
      <c r="B5" s="247"/>
      <c r="C5" s="247"/>
      <c r="D5" s="247"/>
    </row>
    <row r="6" spans="1:4" ht="9.75" customHeight="1" x14ac:dyDescent="0.2">
      <c r="A6" s="21"/>
      <c r="B6" s="21"/>
      <c r="C6" s="21"/>
      <c r="D6" s="21"/>
    </row>
    <row r="7" spans="1:4" ht="25.5" customHeight="1" x14ac:dyDescent="0.2">
      <c r="A7" s="13" t="s">
        <v>28</v>
      </c>
      <c r="B7" s="13"/>
      <c r="C7" s="13"/>
      <c r="D7" s="13"/>
    </row>
    <row r="8" spans="1:4" ht="21.75" customHeight="1" x14ac:dyDescent="0.2">
      <c r="A8" s="27" t="s">
        <v>29</v>
      </c>
      <c r="B8" s="27" t="s">
        <v>30</v>
      </c>
      <c r="C8" s="27" t="s">
        <v>31</v>
      </c>
      <c r="D8" s="27" t="s">
        <v>32</v>
      </c>
    </row>
    <row r="9" spans="1:4" ht="21.75" customHeight="1" x14ac:dyDescent="0.2">
      <c r="A9" s="28" t="s">
        <v>33</v>
      </c>
      <c r="B9" s="29">
        <v>112</v>
      </c>
      <c r="C9" s="29">
        <v>163</v>
      </c>
      <c r="D9" s="29">
        <v>224</v>
      </c>
    </row>
    <row r="10" spans="1:4" ht="21.75" customHeight="1" x14ac:dyDescent="0.2">
      <c r="A10" s="30" t="s">
        <v>34</v>
      </c>
      <c r="B10" s="31">
        <v>-67.2</v>
      </c>
      <c r="C10" s="31">
        <v>-95.4</v>
      </c>
      <c r="D10" s="31">
        <v>-126</v>
      </c>
    </row>
    <row r="11" spans="1:4" ht="21.75" customHeight="1" x14ac:dyDescent="0.2">
      <c r="A11" s="28" t="s">
        <v>35</v>
      </c>
      <c r="B11" s="32">
        <f>B9+B10</f>
        <v>44.8</v>
      </c>
      <c r="C11" s="32">
        <f>C9+C10</f>
        <v>67.599999999999994</v>
      </c>
      <c r="D11" s="32">
        <f>D9+D10</f>
        <v>98</v>
      </c>
    </row>
    <row r="12" spans="1:4" ht="19.5" customHeight="1" x14ac:dyDescent="0.2">
      <c r="A12" s="33" t="s">
        <v>36</v>
      </c>
      <c r="B12" s="34">
        <f>B11/B9</f>
        <v>0.39999999999999997</v>
      </c>
      <c r="C12" s="34">
        <f>C11/C9</f>
        <v>0.41472392638036809</v>
      </c>
      <c r="D12" s="34">
        <f>D11/D9</f>
        <v>0.4375</v>
      </c>
    </row>
    <row r="13" spans="1:4" ht="21.75" customHeight="1" x14ac:dyDescent="0.2">
      <c r="A13" s="35" t="s">
        <v>37</v>
      </c>
      <c r="B13" s="36">
        <v>8.4</v>
      </c>
      <c r="C13" s="36">
        <v>16.3</v>
      </c>
      <c r="D13" s="36">
        <v>26.9</v>
      </c>
    </row>
    <row r="14" spans="1:4" ht="21.75" customHeight="1" x14ac:dyDescent="0.2">
      <c r="A14" s="37" t="s">
        <v>38</v>
      </c>
      <c r="B14" s="38">
        <f>B13/B9</f>
        <v>7.4999999999999997E-2</v>
      </c>
      <c r="C14" s="38">
        <f>C13/C9</f>
        <v>0.1</v>
      </c>
      <c r="D14" s="38">
        <f>D13/D9</f>
        <v>0.1200892857142857</v>
      </c>
    </row>
    <row r="15" spans="1:4" ht="19.5" customHeight="1" x14ac:dyDescent="0.2">
      <c r="A15" s="39" t="s">
        <v>39</v>
      </c>
      <c r="B15" s="40">
        <v>-1.2</v>
      </c>
      <c r="C15" s="40">
        <v>-1.7</v>
      </c>
      <c r="D15" s="40">
        <v>-2.6</v>
      </c>
    </row>
    <row r="16" spans="1:4" ht="21.75" customHeight="1" x14ac:dyDescent="0.2">
      <c r="A16" s="41" t="s">
        <v>40</v>
      </c>
      <c r="B16" s="42">
        <v>7.2</v>
      </c>
      <c r="C16" s="42">
        <v>14.6</v>
      </c>
      <c r="D16" s="42">
        <v>24.3</v>
      </c>
    </row>
    <row r="17" spans="1:7" ht="21.75" customHeight="1" x14ac:dyDescent="0.2">
      <c r="A17" s="43" t="s">
        <v>41</v>
      </c>
      <c r="B17" s="42">
        <v>0.3</v>
      </c>
      <c r="C17" s="42">
        <v>0.4</v>
      </c>
      <c r="D17" s="42">
        <v>0.5</v>
      </c>
      <c r="F17" s="44"/>
      <c r="G17" s="44"/>
    </row>
    <row r="18" spans="1:7" ht="21.75" customHeight="1" x14ac:dyDescent="0.2">
      <c r="A18" s="43" t="s">
        <v>42</v>
      </c>
      <c r="B18" s="45">
        <v>-1.8</v>
      </c>
      <c r="C18" s="45">
        <v>-2.5</v>
      </c>
      <c r="D18" s="45">
        <v>-3.2</v>
      </c>
    </row>
    <row r="19" spans="1:7" ht="21.75" customHeight="1" x14ac:dyDescent="0.2">
      <c r="A19" s="41" t="s">
        <v>43</v>
      </c>
      <c r="B19" s="42">
        <v>5.7</v>
      </c>
      <c r="C19" s="42">
        <v>12.5</v>
      </c>
      <c r="D19" s="42">
        <v>21.6</v>
      </c>
    </row>
    <row r="20" spans="1:7" ht="21.75" customHeight="1" x14ac:dyDescent="0.2">
      <c r="A20" s="43" t="s">
        <v>44</v>
      </c>
      <c r="B20" s="45">
        <v>-3.6</v>
      </c>
      <c r="C20" s="45">
        <v>-6</v>
      </c>
      <c r="D20" s="45">
        <v>-8.1999999999999993</v>
      </c>
    </row>
    <row r="21" spans="1:7" ht="21.75" customHeight="1" x14ac:dyDescent="0.2">
      <c r="A21" s="41" t="s">
        <v>45</v>
      </c>
      <c r="B21" s="42">
        <v>2.1</v>
      </c>
      <c r="C21" s="42">
        <v>6.5</v>
      </c>
      <c r="D21" s="42">
        <v>13.4</v>
      </c>
    </row>
    <row r="22" spans="1:7" ht="19.5" customHeight="1" x14ac:dyDescent="0.2">
      <c r="A22" s="46" t="s">
        <v>46</v>
      </c>
      <c r="B22" s="47">
        <f>B21/B9</f>
        <v>1.8749999999999999E-2</v>
      </c>
      <c r="C22" s="47">
        <f>C21/C9</f>
        <v>3.9877300613496931E-2</v>
      </c>
      <c r="D22" s="47">
        <f>D21/D9</f>
        <v>5.9821428571428574E-2</v>
      </c>
    </row>
    <row r="23" spans="1:7" ht="21.75" customHeight="1" x14ac:dyDescent="0.2">
      <c r="A23" s="48"/>
      <c r="B23" s="48"/>
      <c r="C23" s="48"/>
      <c r="D23" s="48"/>
    </row>
    <row r="24" spans="1:7" ht="21.75" customHeight="1" x14ac:dyDescent="0.2">
      <c r="A24" s="49"/>
      <c r="B24" s="49"/>
      <c r="C24" s="49"/>
      <c r="D24" s="49"/>
    </row>
    <row r="25" spans="1:7" ht="14.25" customHeight="1" x14ac:dyDescent="0.2">
      <c r="A25" s="13" t="s">
        <v>47</v>
      </c>
      <c r="B25" s="13"/>
      <c r="C25" s="13"/>
      <c r="D25" s="13"/>
    </row>
    <row r="26" spans="1:7" ht="9.75" customHeight="1" x14ac:dyDescent="0.2">
      <c r="A26" s="27" t="s">
        <v>29</v>
      </c>
      <c r="B26" s="27" t="s">
        <v>30</v>
      </c>
      <c r="C26" s="27" t="s">
        <v>31</v>
      </c>
      <c r="D26" s="27" t="s">
        <v>32</v>
      </c>
    </row>
    <row r="27" spans="1:7" ht="24" customHeight="1" x14ac:dyDescent="0.2">
      <c r="A27" s="50" t="s">
        <v>48</v>
      </c>
      <c r="B27" s="51"/>
      <c r="C27" s="51"/>
      <c r="D27" s="51"/>
    </row>
    <row r="28" spans="1:7" ht="21.75" customHeight="1" x14ac:dyDescent="0.2">
      <c r="A28" s="43" t="s">
        <v>49</v>
      </c>
      <c r="B28" s="45">
        <v>65</v>
      </c>
      <c r="C28" s="45">
        <v>89</v>
      </c>
      <c r="D28" s="45">
        <v>112</v>
      </c>
    </row>
    <row r="29" spans="1:7" ht="21.75" customHeight="1" x14ac:dyDescent="0.2">
      <c r="A29" s="30" t="s">
        <v>50</v>
      </c>
      <c r="B29" s="31">
        <v>18</v>
      </c>
      <c r="C29" s="31">
        <v>24</v>
      </c>
      <c r="D29" s="31">
        <v>31</v>
      </c>
    </row>
    <row r="30" spans="1:7" ht="21.75" customHeight="1" x14ac:dyDescent="0.2">
      <c r="A30" s="43" t="s">
        <v>51</v>
      </c>
      <c r="B30" s="45">
        <v>12</v>
      </c>
      <c r="C30" s="45">
        <v>16.5</v>
      </c>
      <c r="D30" s="45">
        <v>22</v>
      </c>
    </row>
    <row r="31" spans="1:7" ht="21.75" customHeight="1" x14ac:dyDescent="0.2">
      <c r="A31" s="30" t="s">
        <v>52</v>
      </c>
      <c r="B31" s="31">
        <v>14</v>
      </c>
      <c r="C31" s="31">
        <v>21</v>
      </c>
      <c r="D31" s="31">
        <v>28</v>
      </c>
    </row>
    <row r="32" spans="1:7" ht="21.75" customHeight="1" x14ac:dyDescent="0.2">
      <c r="A32" s="43" t="s">
        <v>53</v>
      </c>
      <c r="B32" s="45">
        <v>5</v>
      </c>
      <c r="C32" s="45">
        <v>6.5</v>
      </c>
      <c r="D32" s="45">
        <v>5</v>
      </c>
    </row>
    <row r="33" spans="1:4" ht="24" customHeight="1" x14ac:dyDescent="0.2">
      <c r="A33" s="52" t="s">
        <v>54</v>
      </c>
      <c r="B33" s="53">
        <f>B28+B29+B30+B31+B32</f>
        <v>114</v>
      </c>
      <c r="C33" s="53">
        <f>C28+C29+C30+C31+C32</f>
        <v>157</v>
      </c>
      <c r="D33" s="53">
        <f>D28+D29+D30+D31+D32</f>
        <v>198</v>
      </c>
    </row>
    <row r="34" spans="1:4" ht="24" customHeight="1" x14ac:dyDescent="0.2">
      <c r="A34" s="50" t="s">
        <v>55</v>
      </c>
      <c r="B34" s="51"/>
      <c r="C34" s="51"/>
      <c r="D34" s="51"/>
    </row>
    <row r="35" spans="1:4" ht="21.75" customHeight="1" x14ac:dyDescent="0.2">
      <c r="A35" s="43" t="s">
        <v>56</v>
      </c>
      <c r="B35" s="45">
        <v>22</v>
      </c>
      <c r="C35" s="45">
        <v>31</v>
      </c>
      <c r="D35" s="45">
        <v>42</v>
      </c>
    </row>
    <row r="36" spans="1:4" ht="21.75" customHeight="1" x14ac:dyDescent="0.2">
      <c r="A36" s="30" t="s">
        <v>57</v>
      </c>
      <c r="B36" s="31">
        <v>15</v>
      </c>
      <c r="C36" s="31">
        <v>19</v>
      </c>
      <c r="D36" s="31">
        <v>26</v>
      </c>
    </row>
    <row r="37" spans="1:4" ht="21.75" customHeight="1" x14ac:dyDescent="0.2">
      <c r="A37" s="43" t="s">
        <v>58</v>
      </c>
      <c r="B37" s="45">
        <v>8</v>
      </c>
      <c r="C37" s="45">
        <v>10</v>
      </c>
      <c r="D37" s="45">
        <v>18</v>
      </c>
    </row>
    <row r="38" spans="1:4" ht="21.75" customHeight="1" x14ac:dyDescent="0.2">
      <c r="A38" s="41" t="s">
        <v>59</v>
      </c>
      <c r="B38" s="42">
        <v>69</v>
      </c>
      <c r="C38" s="42">
        <v>97</v>
      </c>
      <c r="D38" s="42">
        <v>112</v>
      </c>
    </row>
    <row r="39" spans="1:4" ht="24" customHeight="1" x14ac:dyDescent="0.2">
      <c r="A39" s="54" t="s">
        <v>60</v>
      </c>
      <c r="B39" s="55">
        <f>B35+B36+B37+B38</f>
        <v>114</v>
      </c>
      <c r="C39" s="55">
        <f>C35+C36+C37+C38</f>
        <v>157</v>
      </c>
      <c r="D39" s="55">
        <f>D35+D36+D37+D38</f>
        <v>198</v>
      </c>
    </row>
    <row r="40" spans="1:4" ht="21.75" customHeight="1" x14ac:dyDescent="0.2">
      <c r="A40" s="56"/>
      <c r="B40" s="56"/>
      <c r="C40" s="56"/>
      <c r="D40" s="56"/>
    </row>
    <row r="41" spans="1:4" ht="21.75" customHeight="1" x14ac:dyDescent="0.2">
      <c r="A41" s="57"/>
      <c r="B41" s="57"/>
      <c r="C41" s="57"/>
      <c r="D41" s="57"/>
    </row>
    <row r="42" spans="1:4" ht="14.25" customHeight="1" x14ac:dyDescent="0.2">
      <c r="A42" s="13" t="s">
        <v>61</v>
      </c>
      <c r="B42" s="13"/>
      <c r="C42" s="13"/>
      <c r="D42" s="13"/>
    </row>
    <row r="43" spans="1:4" ht="14.25" customHeight="1" x14ac:dyDescent="0.2">
      <c r="A43" s="27" t="s">
        <v>62</v>
      </c>
      <c r="B43" s="27" t="s">
        <v>30</v>
      </c>
      <c r="C43" s="27" t="s">
        <v>31</v>
      </c>
      <c r="D43" s="27" t="s">
        <v>32</v>
      </c>
    </row>
    <row r="44" spans="1:4" ht="21.75" customHeight="1" x14ac:dyDescent="0.2">
      <c r="A44" s="58" t="s">
        <v>63</v>
      </c>
      <c r="B44" s="59" t="s">
        <v>64</v>
      </c>
      <c r="C44" s="59">
        <f>C9/B9-1</f>
        <v>0.45535714285714279</v>
      </c>
      <c r="D44" s="59">
        <f>D9/C9-1</f>
        <v>0.37423312883435589</v>
      </c>
    </row>
    <row r="45" spans="1:4" ht="21.75" customHeight="1" x14ac:dyDescent="0.2">
      <c r="A45" s="60" t="s">
        <v>65</v>
      </c>
      <c r="B45" s="61">
        <f>B13/B9</f>
        <v>7.4999999999999997E-2</v>
      </c>
      <c r="C45" s="61">
        <f>C13/C9</f>
        <v>0.1</v>
      </c>
      <c r="D45" s="61">
        <f>D13/D9</f>
        <v>0.1200892857142857</v>
      </c>
    </row>
    <row r="46" spans="1:4" ht="21.75" customHeight="1" x14ac:dyDescent="0.2">
      <c r="A46" s="58" t="s">
        <v>66</v>
      </c>
      <c r="B46" s="62">
        <f>B35/B38</f>
        <v>0.3188405797101449</v>
      </c>
      <c r="C46" s="62">
        <f>C35/C38</f>
        <v>0.31958762886597936</v>
      </c>
      <c r="D46" s="62">
        <f>D35/D38</f>
        <v>0.375</v>
      </c>
    </row>
    <row r="47" spans="1:4" ht="21.75" customHeight="1" x14ac:dyDescent="0.2">
      <c r="A47" s="60" t="s">
        <v>67</v>
      </c>
      <c r="B47" s="63">
        <f>B16/ABS(B18)</f>
        <v>4</v>
      </c>
      <c r="C47" s="63">
        <f>C16/ABS(C18)</f>
        <v>5.84</v>
      </c>
      <c r="D47" s="63">
        <f>D16/ABS(D18)</f>
        <v>7.59375</v>
      </c>
    </row>
    <row r="48" spans="1:4" ht="21.75" customHeight="1" x14ac:dyDescent="0.2">
      <c r="A48" s="64" t="s">
        <v>68</v>
      </c>
      <c r="B48" s="65">
        <f>B21/B38</f>
        <v>3.0434782608695653E-2</v>
      </c>
      <c r="C48" s="65">
        <f>C21/C38</f>
        <v>6.7010309278350513E-2</v>
      </c>
      <c r="D48" s="65">
        <f>D21/D38</f>
        <v>0.11964285714285715</v>
      </c>
    </row>
    <row r="49" spans="1:4" ht="24" customHeight="1" x14ac:dyDescent="0.2">
      <c r="A49" s="66"/>
      <c r="B49" s="67"/>
      <c r="C49" s="67"/>
      <c r="D49" s="67"/>
    </row>
    <row r="50" spans="1:4" ht="24" customHeight="1" x14ac:dyDescent="0.2">
      <c r="A50" s="68"/>
      <c r="B50" s="68"/>
      <c r="C50" s="68"/>
      <c r="D50" s="68"/>
    </row>
    <row r="51" spans="1:4" ht="24" customHeight="1" x14ac:dyDescent="0.2">
      <c r="A51" s="10" t="s">
        <v>69</v>
      </c>
      <c r="B51" s="10"/>
      <c r="C51" s="10"/>
      <c r="D51" s="10"/>
    </row>
    <row r="52" spans="1:4" ht="9.75" customHeight="1" x14ac:dyDescent="0.2"/>
    <row r="53" spans="1:4" ht="54.75" customHeight="1" x14ac:dyDescent="0.2">
      <c r="A53" s="69" t="s">
        <v>70</v>
      </c>
    </row>
  </sheetData>
  <mergeCells count="6">
    <mergeCell ref="A51:D51"/>
    <mergeCell ref="A1:D4"/>
    <mergeCell ref="A5:D5"/>
    <mergeCell ref="A7:D7"/>
    <mergeCell ref="A25:D25"/>
    <mergeCell ref="A42:D4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showGridLines="0" zoomScale="68" zoomScaleNormal="68" workbookViewId="0">
      <selection activeCell="D30" sqref="D30"/>
    </sheetView>
  </sheetViews>
  <sheetFormatPr defaultColWidth="8.609375" defaultRowHeight="15" x14ac:dyDescent="0.2"/>
  <cols>
    <col min="1" max="1" width="5.51171875" style="15" customWidth="1"/>
    <col min="2" max="2" width="40.7578125" style="15" customWidth="1"/>
    <col min="3" max="3" width="22.1953125" style="15" customWidth="1"/>
    <col min="4" max="4" width="92.55078125" style="15" customWidth="1"/>
    <col min="5" max="5" width="5.51171875" style="15" customWidth="1"/>
  </cols>
  <sheetData>
    <row r="1" spans="2:4" ht="39.75" customHeight="1" x14ac:dyDescent="0.2">
      <c r="B1" s="248" t="s">
        <v>71</v>
      </c>
      <c r="C1" s="248"/>
      <c r="D1" s="248"/>
    </row>
    <row r="2" spans="2:4" ht="30" customHeight="1" x14ac:dyDescent="0.2">
      <c r="B2" s="249" t="s">
        <v>72</v>
      </c>
      <c r="C2" s="249"/>
      <c r="D2" s="249"/>
    </row>
    <row r="3" spans="2:4" ht="25.5" customHeight="1" x14ac:dyDescent="0.2">
      <c r="B3" s="70" t="s">
        <v>73</v>
      </c>
      <c r="C3" s="71" t="s">
        <v>74</v>
      </c>
      <c r="D3" s="72" t="s">
        <v>75</v>
      </c>
    </row>
    <row r="4" spans="2:4" ht="24" customHeight="1" x14ac:dyDescent="0.2">
      <c r="B4" s="250" t="s">
        <v>76</v>
      </c>
      <c r="C4" s="250"/>
      <c r="D4" s="250"/>
    </row>
    <row r="5" spans="2:4" ht="54.75" customHeight="1" x14ac:dyDescent="0.2">
      <c r="B5" s="73" t="s">
        <v>77</v>
      </c>
      <c r="C5" s="74" t="s">
        <v>78</v>
      </c>
      <c r="D5" s="75" t="s">
        <v>79</v>
      </c>
    </row>
    <row r="6" spans="2:4" ht="54.75" customHeight="1" x14ac:dyDescent="0.2">
      <c r="B6" s="76" t="s">
        <v>80</v>
      </c>
      <c r="C6" s="74" t="s">
        <v>81</v>
      </c>
      <c r="D6" s="75" t="s">
        <v>82</v>
      </c>
    </row>
    <row r="7" spans="2:4" ht="54.75" customHeight="1" x14ac:dyDescent="0.2">
      <c r="B7" s="73" t="s">
        <v>83</v>
      </c>
      <c r="C7" s="74" t="s">
        <v>84</v>
      </c>
      <c r="D7" s="75" t="s">
        <v>85</v>
      </c>
    </row>
    <row r="8" spans="2:4" ht="54.75" customHeight="1" x14ac:dyDescent="0.2">
      <c r="B8" s="76" t="s">
        <v>86</v>
      </c>
      <c r="C8" s="74" t="s">
        <v>87</v>
      </c>
      <c r="D8" s="75" t="s">
        <v>88</v>
      </c>
    </row>
    <row r="9" spans="2:4" ht="54.75" customHeight="1" x14ac:dyDescent="0.2">
      <c r="B9" s="73" t="s">
        <v>89</v>
      </c>
      <c r="C9" s="74" t="s">
        <v>90</v>
      </c>
      <c r="D9" s="75" t="s">
        <v>91</v>
      </c>
    </row>
    <row r="10" spans="2:4" ht="54.75" customHeight="1" x14ac:dyDescent="0.2">
      <c r="B10" s="76" t="s">
        <v>92</v>
      </c>
      <c r="C10" s="74" t="s">
        <v>93</v>
      </c>
      <c r="D10" s="75" t="s">
        <v>94</v>
      </c>
    </row>
    <row r="11" spans="2:4" ht="24" customHeight="1" x14ac:dyDescent="0.2">
      <c r="B11" s="250" t="s">
        <v>95</v>
      </c>
      <c r="C11" s="250"/>
      <c r="D11" s="250"/>
    </row>
    <row r="12" spans="2:4" ht="54.75" customHeight="1" x14ac:dyDescent="0.2">
      <c r="B12" s="76" t="s">
        <v>96</v>
      </c>
      <c r="C12" s="74" t="s">
        <v>97</v>
      </c>
      <c r="D12" s="75" t="s">
        <v>98</v>
      </c>
    </row>
    <row r="13" spans="2:4" ht="54.75" customHeight="1" x14ac:dyDescent="0.2">
      <c r="B13" s="73" t="s">
        <v>99</v>
      </c>
      <c r="C13" s="74" t="s">
        <v>100</v>
      </c>
      <c r="D13" s="75" t="s">
        <v>101</v>
      </c>
    </row>
    <row r="14" spans="2:4" ht="54.75" customHeight="1" x14ac:dyDescent="0.2">
      <c r="B14" s="76" t="s">
        <v>102</v>
      </c>
      <c r="C14" s="74" t="s">
        <v>103</v>
      </c>
      <c r="D14" s="75" t="s">
        <v>104</v>
      </c>
    </row>
    <row r="15" spans="2:4" ht="24" customHeight="1" x14ac:dyDescent="0.2">
      <c r="B15" s="250" t="s">
        <v>105</v>
      </c>
      <c r="C15" s="250"/>
      <c r="D15" s="250"/>
    </row>
    <row r="16" spans="2:4" ht="54.75" customHeight="1" x14ac:dyDescent="0.2">
      <c r="B16" s="76" t="s">
        <v>106</v>
      </c>
      <c r="C16" s="74" t="s">
        <v>107</v>
      </c>
      <c r="D16" s="75" t="s">
        <v>108</v>
      </c>
    </row>
    <row r="17" spans="2:4" ht="24" customHeight="1" x14ac:dyDescent="0.2">
      <c r="B17" s="250" t="s">
        <v>109</v>
      </c>
      <c r="C17" s="250"/>
      <c r="D17" s="250"/>
    </row>
    <row r="18" spans="2:4" ht="54.75" customHeight="1" x14ac:dyDescent="0.2">
      <c r="B18" s="76" t="s">
        <v>110</v>
      </c>
      <c r="C18" s="74" t="s">
        <v>111</v>
      </c>
      <c r="D18" s="75" t="s">
        <v>112</v>
      </c>
    </row>
    <row r="19" spans="2:4" ht="54.75" customHeight="1" x14ac:dyDescent="0.2">
      <c r="B19" s="73" t="s">
        <v>113</v>
      </c>
      <c r="C19" s="74" t="s">
        <v>114</v>
      </c>
      <c r="D19" s="75" t="s">
        <v>115</v>
      </c>
    </row>
    <row r="20" spans="2:4" ht="54.75" customHeight="1" x14ac:dyDescent="0.2">
      <c r="B20" s="76" t="s">
        <v>116</v>
      </c>
      <c r="C20" s="74" t="s">
        <v>117</v>
      </c>
      <c r="D20" s="75" t="s">
        <v>118</v>
      </c>
    </row>
    <row r="21" spans="2:4" ht="54.75" customHeight="1" x14ac:dyDescent="0.2">
      <c r="B21" s="73" t="s">
        <v>119</v>
      </c>
      <c r="C21" s="74" t="s">
        <v>120</v>
      </c>
      <c r="D21" s="75" t="s">
        <v>121</v>
      </c>
    </row>
    <row r="22" spans="2:4" ht="54.75" customHeight="1" x14ac:dyDescent="0.2">
      <c r="B22" s="76" t="s">
        <v>122</v>
      </c>
      <c r="C22" s="74" t="s">
        <v>123</v>
      </c>
      <c r="D22" s="75" t="s">
        <v>124</v>
      </c>
    </row>
    <row r="23" spans="2:4" ht="24" customHeight="1" x14ac:dyDescent="0.2">
      <c r="B23" s="250" t="s">
        <v>125</v>
      </c>
      <c r="C23" s="250"/>
      <c r="D23" s="250"/>
    </row>
    <row r="24" spans="2:4" ht="54.75" customHeight="1" x14ac:dyDescent="0.2">
      <c r="B24" s="76" t="s">
        <v>126</v>
      </c>
      <c r="C24" s="74" t="s">
        <v>127</v>
      </c>
      <c r="D24" s="75" t="s">
        <v>128</v>
      </c>
    </row>
    <row r="25" spans="2:4" ht="24" customHeight="1" x14ac:dyDescent="0.2">
      <c r="B25" s="250" t="s">
        <v>129</v>
      </c>
      <c r="C25" s="250"/>
      <c r="D25" s="250"/>
    </row>
    <row r="26" spans="2:4" ht="54.75" customHeight="1" x14ac:dyDescent="0.2">
      <c r="B26" s="76" t="s">
        <v>130</v>
      </c>
      <c r="C26" s="74" t="s">
        <v>131</v>
      </c>
      <c r="D26" s="75" t="s">
        <v>132</v>
      </c>
    </row>
    <row r="27" spans="2:4" ht="54.75" customHeight="1" x14ac:dyDescent="0.2">
      <c r="B27" s="73" t="s">
        <v>133</v>
      </c>
      <c r="C27" s="74" t="s">
        <v>134</v>
      </c>
      <c r="D27" s="75" t="s">
        <v>135</v>
      </c>
    </row>
    <row r="28" spans="2:4" ht="24" customHeight="1" x14ac:dyDescent="0.2">
      <c r="B28" s="250" t="s">
        <v>136</v>
      </c>
      <c r="C28" s="250"/>
      <c r="D28" s="250"/>
    </row>
    <row r="29" spans="2:4" ht="54.75" customHeight="1" x14ac:dyDescent="0.2">
      <c r="B29" s="77" t="s">
        <v>137</v>
      </c>
      <c r="C29" s="78" t="s">
        <v>138</v>
      </c>
      <c r="D29" s="79" t="s">
        <v>139</v>
      </c>
    </row>
    <row r="30" spans="2:4" ht="54.75" customHeight="1" x14ac:dyDescent="0.2">
      <c r="B30" s="73" t="s">
        <v>140</v>
      </c>
      <c r="C30" s="80" t="s">
        <v>141</v>
      </c>
      <c r="D30" s="81" t="s">
        <v>142</v>
      </c>
    </row>
    <row r="31" spans="2:4" ht="54.75" customHeight="1" x14ac:dyDescent="0.2">
      <c r="B31" s="76" t="s">
        <v>143</v>
      </c>
      <c r="C31" s="74" t="s">
        <v>144</v>
      </c>
      <c r="D31" s="75" t="s">
        <v>145</v>
      </c>
    </row>
    <row r="32" spans="2:4" ht="54.75" customHeight="1" x14ac:dyDescent="0.2">
      <c r="B32" s="73" t="s">
        <v>146</v>
      </c>
      <c r="C32" s="74" t="s">
        <v>147</v>
      </c>
      <c r="D32" s="75" t="s">
        <v>148</v>
      </c>
    </row>
    <row r="33" spans="2:4" ht="14.25" customHeight="1" x14ac:dyDescent="0.2">
      <c r="B33" s="82"/>
      <c r="C33" s="83"/>
      <c r="D33" s="84"/>
    </row>
    <row r="34" spans="2:4" ht="19.5" customHeight="1" x14ac:dyDescent="0.2">
      <c r="B34" s="251" t="s">
        <v>149</v>
      </c>
      <c r="C34" s="251"/>
      <c r="D34" s="251"/>
    </row>
  </sheetData>
  <mergeCells count="10">
    <mergeCell ref="B17:D17"/>
    <mergeCell ref="B23:D23"/>
    <mergeCell ref="B25:D25"/>
    <mergeCell ref="B28:D28"/>
    <mergeCell ref="B34:D34"/>
    <mergeCell ref="B1:D1"/>
    <mergeCell ref="B2:D2"/>
    <mergeCell ref="B4:D4"/>
    <mergeCell ref="B11:D11"/>
    <mergeCell ref="B15:D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5132"/>
  </sheetPr>
  <dimension ref="A1:J48"/>
  <sheetViews>
    <sheetView showGridLines="0" zoomScale="71" zoomScaleNormal="71" workbookViewId="0">
      <pane ySplit="8" topLeftCell="A9" activePane="bottomLeft" state="frozen"/>
      <selection pane="bottomLeft" activeCell="A46" sqref="A46"/>
    </sheetView>
  </sheetViews>
  <sheetFormatPr defaultColWidth="8.609375" defaultRowHeight="15" x14ac:dyDescent="0.2"/>
  <cols>
    <col min="1" max="1" width="51.92578125" style="15" customWidth="1"/>
    <col min="2" max="4" width="13.85546875" style="15" customWidth="1"/>
    <col min="5" max="9" width="15.19921875" style="15" customWidth="1"/>
    <col min="10" max="10" width="36.9921875" style="15" customWidth="1"/>
  </cols>
  <sheetData>
    <row r="1" spans="1:10" ht="39.75" customHeight="1" x14ac:dyDescent="0.25">
      <c r="A1" s="252" t="s">
        <v>150</v>
      </c>
      <c r="B1" s="252"/>
      <c r="C1" s="252"/>
      <c r="D1" s="252"/>
      <c r="E1" s="252"/>
      <c r="F1" s="252"/>
      <c r="G1" s="252"/>
      <c r="H1" s="85"/>
      <c r="I1" s="85"/>
    </row>
    <row r="2" spans="1:10" ht="7.5" customHeight="1" x14ac:dyDescent="0.2">
      <c r="A2" s="252"/>
      <c r="B2" s="252"/>
      <c r="C2" s="252"/>
      <c r="D2" s="252"/>
      <c r="E2" s="252"/>
      <c r="F2" s="252"/>
      <c r="G2" s="252"/>
      <c r="H2" s="16"/>
      <c r="I2" s="16"/>
      <c r="J2" s="16"/>
    </row>
    <row r="3" spans="1:10" ht="7.5" customHeight="1" x14ac:dyDescent="0.2">
      <c r="A3" s="252"/>
      <c r="B3" s="252"/>
      <c r="C3" s="252"/>
      <c r="D3" s="252"/>
      <c r="E3" s="252"/>
      <c r="F3" s="252"/>
      <c r="G3" s="252"/>
      <c r="H3" s="16"/>
      <c r="I3" s="16"/>
      <c r="J3" s="16"/>
    </row>
    <row r="4" spans="1:10" ht="7.5" customHeight="1" x14ac:dyDescent="0.2">
      <c r="A4" s="252"/>
      <c r="B4" s="252"/>
      <c r="C4" s="252"/>
      <c r="D4" s="252"/>
      <c r="E4" s="252"/>
      <c r="F4" s="252"/>
      <c r="G4" s="252"/>
      <c r="H4" s="16"/>
      <c r="I4" s="16"/>
      <c r="J4" s="16"/>
    </row>
    <row r="5" spans="1:10" ht="19.5" customHeight="1" x14ac:dyDescent="0.2">
      <c r="A5" s="253" t="s">
        <v>151</v>
      </c>
      <c r="B5" s="253"/>
      <c r="C5" s="253"/>
      <c r="D5" s="253"/>
      <c r="E5" s="253"/>
      <c r="F5" s="253"/>
      <c r="G5" s="253"/>
      <c r="H5" s="86"/>
      <c r="I5" s="86"/>
      <c r="J5" s="86"/>
    </row>
    <row r="6" spans="1:10" ht="7.5" customHeight="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25.5" customHeight="1" x14ac:dyDescent="0.2">
      <c r="A7" s="13" t="s">
        <v>152</v>
      </c>
      <c r="B7" s="13"/>
      <c r="C7" s="13"/>
      <c r="D7" s="13"/>
      <c r="E7" s="13"/>
      <c r="F7" s="13"/>
      <c r="G7" s="13"/>
      <c r="H7" s="87"/>
      <c r="I7" s="87"/>
    </row>
    <row r="8" spans="1:10" ht="21.75" customHeight="1" x14ac:dyDescent="0.2">
      <c r="A8" s="88" t="s">
        <v>73</v>
      </c>
      <c r="B8" s="88" t="s">
        <v>153</v>
      </c>
      <c r="C8" s="88" t="s">
        <v>154</v>
      </c>
      <c r="D8" s="88" t="s">
        <v>155</v>
      </c>
      <c r="E8" s="88" t="s">
        <v>156</v>
      </c>
      <c r="F8" s="88" t="s">
        <v>157</v>
      </c>
      <c r="G8" s="89" t="s">
        <v>158</v>
      </c>
      <c r="H8" s="90"/>
      <c r="I8" s="90"/>
    </row>
    <row r="9" spans="1:10" ht="45" customHeight="1" x14ac:dyDescent="0.2">
      <c r="A9" s="91" t="s">
        <v>77</v>
      </c>
      <c r="B9" s="92">
        <v>0.3</v>
      </c>
      <c r="C9" s="92">
        <v>0.27</v>
      </c>
      <c r="D9" s="92">
        <v>0.24</v>
      </c>
      <c r="E9" s="92">
        <v>0.21</v>
      </c>
      <c r="F9" s="92">
        <v>0.18</v>
      </c>
      <c r="G9" s="93" t="s">
        <v>159</v>
      </c>
    </row>
    <row r="10" spans="1:10" ht="45" customHeight="1" x14ac:dyDescent="0.2">
      <c r="A10" s="94" t="s">
        <v>80</v>
      </c>
      <c r="B10" s="92">
        <v>0.44500000000000001</v>
      </c>
      <c r="C10" s="92">
        <v>0.45</v>
      </c>
      <c r="D10" s="92">
        <v>0.45500000000000002</v>
      </c>
      <c r="E10" s="92">
        <v>0.46</v>
      </c>
      <c r="F10" s="92">
        <v>0.46300000000000002</v>
      </c>
      <c r="G10" s="95" t="s">
        <v>160</v>
      </c>
    </row>
    <row r="11" spans="1:10" ht="45" customHeight="1" x14ac:dyDescent="0.2">
      <c r="A11" s="91" t="s">
        <v>83</v>
      </c>
      <c r="B11" s="92">
        <v>0.13</v>
      </c>
      <c r="C11" s="92">
        <v>0.13500000000000001</v>
      </c>
      <c r="D11" s="92">
        <v>0.14000000000000001</v>
      </c>
      <c r="E11" s="92">
        <v>0.14499999999999999</v>
      </c>
      <c r="F11" s="92">
        <v>0.14799999999999999</v>
      </c>
      <c r="G11" s="93" t="s">
        <v>161</v>
      </c>
    </row>
    <row r="12" spans="1:10" ht="45" customHeight="1" x14ac:dyDescent="0.2">
      <c r="A12" s="94" t="s">
        <v>86</v>
      </c>
      <c r="B12" s="92">
        <v>1.2E-2</v>
      </c>
      <c r="C12" s="92">
        <v>1.2E-2</v>
      </c>
      <c r="D12" s="92">
        <v>1.0999999999999999E-2</v>
      </c>
      <c r="E12" s="92">
        <v>1.0999999999999999E-2</v>
      </c>
      <c r="F12" s="92">
        <v>0.01</v>
      </c>
      <c r="G12" s="95" t="s">
        <v>162</v>
      </c>
    </row>
    <row r="13" spans="1:10" ht="45" customHeight="1" x14ac:dyDescent="0.2">
      <c r="A13" s="91" t="s">
        <v>89</v>
      </c>
      <c r="B13" s="92">
        <v>0.25</v>
      </c>
      <c r="C13" s="92">
        <v>0.25</v>
      </c>
      <c r="D13" s="92">
        <v>0.25</v>
      </c>
      <c r="E13" s="92">
        <v>0.25</v>
      </c>
      <c r="F13" s="92">
        <v>0.25</v>
      </c>
      <c r="G13" s="93" t="s">
        <v>163</v>
      </c>
    </row>
    <row r="14" spans="1:10" ht="45" customHeight="1" x14ac:dyDescent="0.2">
      <c r="A14" s="94" t="s">
        <v>92</v>
      </c>
      <c r="B14" s="92">
        <v>3.5000000000000003E-2</v>
      </c>
      <c r="C14" s="92">
        <v>3.5000000000000003E-2</v>
      </c>
      <c r="D14" s="92">
        <v>0.04</v>
      </c>
      <c r="E14" s="92">
        <v>3.7999999999999999E-2</v>
      </c>
      <c r="F14" s="92">
        <v>3.5000000000000003E-2</v>
      </c>
      <c r="G14" s="95" t="s">
        <v>164</v>
      </c>
    </row>
    <row r="15" spans="1:10" ht="45" customHeight="1" x14ac:dyDescent="0.2">
      <c r="A15" s="91" t="s">
        <v>165</v>
      </c>
      <c r="B15" s="96">
        <v>36</v>
      </c>
      <c r="C15" s="96">
        <v>35</v>
      </c>
      <c r="D15" s="96">
        <v>34</v>
      </c>
      <c r="E15" s="96">
        <v>33</v>
      </c>
      <c r="F15" s="96">
        <v>32</v>
      </c>
      <c r="G15" s="93" t="s">
        <v>166</v>
      </c>
    </row>
    <row r="16" spans="1:10" ht="45" customHeight="1" x14ac:dyDescent="0.2">
      <c r="A16" s="94" t="s">
        <v>167</v>
      </c>
      <c r="B16" s="96">
        <v>75</v>
      </c>
      <c r="C16" s="96">
        <v>75</v>
      </c>
      <c r="D16" s="96">
        <v>76</v>
      </c>
      <c r="E16" s="96">
        <v>77</v>
      </c>
      <c r="F16" s="96">
        <v>78</v>
      </c>
      <c r="G16" s="95" t="s">
        <v>168</v>
      </c>
    </row>
    <row r="17" spans="1:10" ht="45" customHeight="1" x14ac:dyDescent="0.2">
      <c r="A17" s="91" t="s">
        <v>102</v>
      </c>
      <c r="B17" s="96">
        <v>50</v>
      </c>
      <c r="C17" s="96">
        <v>50</v>
      </c>
      <c r="D17" s="96">
        <v>48</v>
      </c>
      <c r="E17" s="96">
        <v>47</v>
      </c>
      <c r="F17" s="96">
        <v>46</v>
      </c>
      <c r="G17" s="93" t="s">
        <v>169</v>
      </c>
    </row>
    <row r="18" spans="1:10" ht="9.7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25.5" customHeight="1" x14ac:dyDescent="0.2">
      <c r="A19" s="13" t="s">
        <v>170</v>
      </c>
      <c r="B19" s="13"/>
      <c r="C19" s="13"/>
      <c r="D19" s="13"/>
      <c r="E19" s="13"/>
      <c r="F19" s="13"/>
      <c r="G19" s="13"/>
      <c r="H19" s="87"/>
      <c r="I19" s="87"/>
    </row>
    <row r="20" spans="1:10" ht="21.75" customHeight="1" x14ac:dyDescent="0.2">
      <c r="A20" s="88" t="s">
        <v>29</v>
      </c>
      <c r="B20" s="88" t="s">
        <v>30</v>
      </c>
      <c r="C20" s="88" t="s">
        <v>31</v>
      </c>
      <c r="D20" s="88" t="s">
        <v>32</v>
      </c>
      <c r="E20" s="88" t="s">
        <v>153</v>
      </c>
      <c r="F20" s="88" t="s">
        <v>154</v>
      </c>
      <c r="G20" s="88" t="s">
        <v>155</v>
      </c>
      <c r="H20" s="88" t="s">
        <v>156</v>
      </c>
      <c r="I20" s="88" t="s">
        <v>157</v>
      </c>
    </row>
    <row r="21" spans="1:10" ht="19.5" customHeight="1" x14ac:dyDescent="0.2">
      <c r="A21" s="97" t="s">
        <v>33</v>
      </c>
      <c r="B21" s="32">
        <v>112</v>
      </c>
      <c r="C21" s="32">
        <v>163</v>
      </c>
      <c r="D21" s="32">
        <v>224</v>
      </c>
      <c r="E21" s="98">
        <f>D21*(1+B9)</f>
        <v>291.2</v>
      </c>
      <c r="F21" s="98">
        <f>E21*(1+C9)</f>
        <v>369.82400000000001</v>
      </c>
      <c r="G21" s="98">
        <f>F21*(1+D9)</f>
        <v>458.58176000000003</v>
      </c>
      <c r="H21" s="98">
        <f>G21*(1+E9)</f>
        <v>554.88392959999999</v>
      </c>
      <c r="I21" s="98">
        <f>H21*(1+F9)</f>
        <v>654.76303692799991</v>
      </c>
    </row>
    <row r="22" spans="1:10" ht="19.5" customHeight="1" x14ac:dyDescent="0.2">
      <c r="A22" s="30" t="s">
        <v>34</v>
      </c>
      <c r="B22" s="99">
        <v>-67.2</v>
      </c>
      <c r="C22" s="99">
        <v>-95.4</v>
      </c>
      <c r="D22" s="99">
        <v>-126</v>
      </c>
      <c r="E22" s="100">
        <f>-E21*(1-B10)</f>
        <v>-161.61599999999999</v>
      </c>
      <c r="F22" s="100">
        <f>-F21*(1-C10)</f>
        <v>-203.40320000000003</v>
      </c>
      <c r="G22" s="100">
        <f>-G21*(1-D10)</f>
        <v>-249.92705919999997</v>
      </c>
      <c r="H22" s="100">
        <f>-H21*(1-E10)</f>
        <v>-299.63732198400004</v>
      </c>
      <c r="I22" s="100">
        <f>-I21*(1-F10)</f>
        <v>-351.60775083033587</v>
      </c>
    </row>
    <row r="23" spans="1:10" ht="19.5" customHeight="1" x14ac:dyDescent="0.2">
      <c r="A23" s="97" t="s">
        <v>35</v>
      </c>
      <c r="B23" s="32">
        <v>44.8</v>
      </c>
      <c r="C23" s="32">
        <v>67.599999999999994</v>
      </c>
      <c r="D23" s="32">
        <v>98</v>
      </c>
      <c r="E23" s="98">
        <f>E21+E22</f>
        <v>129.584</v>
      </c>
      <c r="F23" s="98">
        <f>F21+F22</f>
        <v>166.42079999999999</v>
      </c>
      <c r="G23" s="98">
        <f>G21+G22</f>
        <v>208.65470080000006</v>
      </c>
      <c r="H23" s="98">
        <f>H21+H22</f>
        <v>255.24660761599995</v>
      </c>
      <c r="I23" s="98">
        <f>I21+I22</f>
        <v>303.15528609766403</v>
      </c>
    </row>
    <row r="24" spans="1:10" ht="19.5" customHeight="1" x14ac:dyDescent="0.2">
      <c r="A24" s="30" t="s">
        <v>36</v>
      </c>
      <c r="B24" s="101">
        <v>0.4</v>
      </c>
      <c r="C24" s="101">
        <v>0.41499999999999998</v>
      </c>
      <c r="D24" s="101">
        <v>0.438</v>
      </c>
      <c r="E24" s="102">
        <f>E23/E21</f>
        <v>0.44500000000000001</v>
      </c>
      <c r="F24" s="102">
        <f>F23/F21</f>
        <v>0.44999999999999996</v>
      </c>
      <c r="G24" s="102">
        <f>G23/G21</f>
        <v>0.45500000000000007</v>
      </c>
      <c r="H24" s="102">
        <f>H23/H21</f>
        <v>0.45999999999999991</v>
      </c>
      <c r="I24" s="102">
        <f>I23/I21</f>
        <v>0.46300000000000013</v>
      </c>
    </row>
    <row r="25" spans="1:10" ht="19.5" customHeight="1" x14ac:dyDescent="0.2">
      <c r="A25" s="103" t="s">
        <v>37</v>
      </c>
      <c r="B25" s="53">
        <v>8.4</v>
      </c>
      <c r="C25" s="53">
        <v>16.3</v>
      </c>
      <c r="D25" s="53">
        <v>26.9</v>
      </c>
      <c r="E25" s="104">
        <f>E21*B11</f>
        <v>37.856000000000002</v>
      </c>
      <c r="F25" s="104">
        <f>F21*C11</f>
        <v>49.926240000000007</v>
      </c>
      <c r="G25" s="104">
        <f>G21*D11</f>
        <v>64.201446400000009</v>
      </c>
      <c r="H25" s="104">
        <f>H21*E11</f>
        <v>80.458169791999993</v>
      </c>
      <c r="I25" s="104">
        <f>I21*F11</f>
        <v>96.904929465343983</v>
      </c>
    </row>
    <row r="26" spans="1:10" ht="19.5" customHeight="1" x14ac:dyDescent="0.2">
      <c r="A26" s="105" t="s">
        <v>38</v>
      </c>
      <c r="B26" s="106">
        <v>7.4999999999999997E-2</v>
      </c>
      <c r="C26" s="106">
        <v>0.1</v>
      </c>
      <c r="D26" s="106">
        <v>0.12</v>
      </c>
      <c r="E26" s="107">
        <f>E25/E21</f>
        <v>0.13</v>
      </c>
      <c r="F26" s="107">
        <f>F25/F21</f>
        <v>0.13500000000000001</v>
      </c>
      <c r="G26" s="107">
        <f>G25/G21</f>
        <v>0.14000000000000001</v>
      </c>
      <c r="H26" s="107">
        <f>H25/H21</f>
        <v>0.14499999999999999</v>
      </c>
      <c r="I26" s="107">
        <f>I25/I21</f>
        <v>0.14799999999999999</v>
      </c>
    </row>
    <row r="27" spans="1:10" ht="19.5" customHeight="1" x14ac:dyDescent="0.2">
      <c r="A27" s="105" t="s">
        <v>39</v>
      </c>
      <c r="B27" s="108">
        <v>-1.2</v>
      </c>
      <c r="C27" s="108">
        <v>-1.7</v>
      </c>
      <c r="D27" s="108">
        <v>-2.6</v>
      </c>
      <c r="E27" s="109">
        <f>-E21*B12</f>
        <v>-3.4943999999999997</v>
      </c>
      <c r="F27" s="109">
        <f>-F21*C12</f>
        <v>-4.4378880000000001</v>
      </c>
      <c r="G27" s="109">
        <f>-G21*D12</f>
        <v>-5.0443993599999999</v>
      </c>
      <c r="H27" s="109">
        <f>-H21*E12</f>
        <v>-6.1037232255999996</v>
      </c>
      <c r="I27" s="109">
        <f>-I21*F12</f>
        <v>-6.5476303692799993</v>
      </c>
    </row>
    <row r="28" spans="1:10" ht="19.5" customHeight="1" x14ac:dyDescent="0.2">
      <c r="A28" s="110" t="s">
        <v>40</v>
      </c>
      <c r="B28" s="53">
        <v>7.2</v>
      </c>
      <c r="C28" s="53">
        <v>14.6</v>
      </c>
      <c r="D28" s="53">
        <v>24.3</v>
      </c>
      <c r="E28" s="104">
        <f>E25+E27</f>
        <v>34.361600000000003</v>
      </c>
      <c r="F28" s="104">
        <f>F25+F27</f>
        <v>45.488352000000006</v>
      </c>
      <c r="G28" s="104">
        <f>G25+G27</f>
        <v>59.157047040000009</v>
      </c>
      <c r="H28" s="104">
        <f>H25+H27</f>
        <v>74.354446566399986</v>
      </c>
      <c r="I28" s="104">
        <f>I25+I27</f>
        <v>90.357299096063983</v>
      </c>
    </row>
    <row r="29" spans="1:10" ht="19.5" customHeight="1" x14ac:dyDescent="0.2">
      <c r="A29" s="43" t="s">
        <v>42</v>
      </c>
      <c r="B29" s="108">
        <v>-1.8</v>
      </c>
      <c r="C29" s="108">
        <v>-2.5</v>
      </c>
      <c r="D29" s="108">
        <v>-3.2</v>
      </c>
      <c r="E29" s="111">
        <v>-1.1000000000000001</v>
      </c>
      <c r="F29" s="111">
        <v>-1.2</v>
      </c>
      <c r="G29" s="111">
        <v>-1.4</v>
      </c>
      <c r="H29" s="111">
        <v>-1.5</v>
      </c>
      <c r="I29" s="111">
        <v>-1.7</v>
      </c>
      <c r="J29" s="112" t="s">
        <v>171</v>
      </c>
    </row>
    <row r="30" spans="1:10" ht="19.5" customHeight="1" x14ac:dyDescent="0.2">
      <c r="A30" s="110" t="s">
        <v>43</v>
      </c>
      <c r="B30" s="53">
        <v>5.7</v>
      </c>
      <c r="C30" s="53">
        <v>12.5</v>
      </c>
      <c r="D30" s="53">
        <v>21.6</v>
      </c>
      <c r="E30" s="104">
        <f>E28+E29</f>
        <v>33.261600000000001</v>
      </c>
      <c r="F30" s="104">
        <f>F28+F29</f>
        <v>44.288352000000003</v>
      </c>
      <c r="G30" s="104">
        <f>G28+G29</f>
        <v>57.75704704000001</v>
      </c>
      <c r="H30" s="104">
        <f>H28+H29</f>
        <v>72.854446566399986</v>
      </c>
      <c r="I30" s="104">
        <f>I28+I29</f>
        <v>88.65729909606398</v>
      </c>
    </row>
    <row r="31" spans="1:10" ht="19.5" customHeight="1" x14ac:dyDescent="0.2">
      <c r="A31" s="43" t="s">
        <v>172</v>
      </c>
      <c r="B31" s="108">
        <v>-3.6</v>
      </c>
      <c r="C31" s="108">
        <v>-6</v>
      </c>
      <c r="D31" s="108">
        <v>-8.1999999999999993</v>
      </c>
      <c r="E31" s="109">
        <f>-E30*B13</f>
        <v>-8.3154000000000003</v>
      </c>
      <c r="F31" s="109">
        <f>-F30*C13</f>
        <v>-11.072088000000001</v>
      </c>
      <c r="G31" s="109">
        <f>-G30*D13</f>
        <v>-14.439261760000003</v>
      </c>
      <c r="H31" s="109">
        <f>-H30*E13</f>
        <v>-18.213611641599996</v>
      </c>
      <c r="I31" s="109">
        <f>-I30*F13</f>
        <v>-22.164324774015995</v>
      </c>
    </row>
    <row r="32" spans="1:10" ht="19.5" customHeight="1" x14ac:dyDescent="0.2">
      <c r="A32" s="110" t="s">
        <v>45</v>
      </c>
      <c r="B32" s="53">
        <v>2.1</v>
      </c>
      <c r="C32" s="53">
        <v>6.5</v>
      </c>
      <c r="D32" s="53">
        <v>13.4</v>
      </c>
      <c r="E32" s="104">
        <f>E30+E31</f>
        <v>24.946200000000001</v>
      </c>
      <c r="F32" s="104">
        <f>F30+F31</f>
        <v>33.216264000000002</v>
      </c>
      <c r="G32" s="104">
        <f>G30+G31</f>
        <v>43.31778528000001</v>
      </c>
      <c r="H32" s="104">
        <f>H30+H31</f>
        <v>54.640834924799989</v>
      </c>
      <c r="I32" s="104">
        <f>I30+I31</f>
        <v>66.492974322047985</v>
      </c>
    </row>
    <row r="33" spans="1:10" ht="19.5" customHeight="1" x14ac:dyDescent="0.2">
      <c r="A33" s="43" t="s">
        <v>46</v>
      </c>
      <c r="B33" s="113">
        <f>B32/B21</f>
        <v>1.8749999999999999E-2</v>
      </c>
      <c r="C33" s="113">
        <f>C32/C21</f>
        <v>3.9877300613496931E-2</v>
      </c>
      <c r="D33" s="113">
        <f>D32/D21</f>
        <v>5.9821428571428574E-2</v>
      </c>
      <c r="E33" s="107">
        <f>E32/E21</f>
        <v>8.566689560439561E-2</v>
      </c>
      <c r="F33" s="107">
        <f>F32/F21</f>
        <v>8.9816409967984775E-2</v>
      </c>
      <c r="G33" s="107">
        <f>G32/G21</f>
        <v>9.4460331959125468E-2</v>
      </c>
      <c r="H33" s="107">
        <f>H32/H21</f>
        <v>9.8472548960264555E-2</v>
      </c>
      <c r="I33" s="107">
        <f>I32/I21</f>
        <v>0.10155273063980212</v>
      </c>
    </row>
    <row r="34" spans="1:10" ht="9.7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ht="25.5" customHeight="1" x14ac:dyDescent="0.2">
      <c r="A35" s="87" t="s">
        <v>173</v>
      </c>
      <c r="B35" s="87"/>
      <c r="C35" s="87"/>
      <c r="D35" s="87"/>
      <c r="E35" s="87"/>
      <c r="F35" s="87"/>
      <c r="G35" s="87"/>
      <c r="H35" s="87"/>
      <c r="I35" s="87"/>
    </row>
    <row r="36" spans="1:10" ht="21.75" customHeight="1" x14ac:dyDescent="0.2">
      <c r="A36" s="114" t="s">
        <v>29</v>
      </c>
      <c r="B36" s="115" t="s">
        <v>30</v>
      </c>
      <c r="C36" s="115" t="s">
        <v>31</v>
      </c>
      <c r="D36" s="115" t="s">
        <v>32</v>
      </c>
      <c r="E36" s="115" t="s">
        <v>153</v>
      </c>
      <c r="F36" s="115" t="s">
        <v>154</v>
      </c>
      <c r="G36" s="115" t="s">
        <v>155</v>
      </c>
      <c r="H36" s="115" t="s">
        <v>156</v>
      </c>
      <c r="I36" s="116" t="s">
        <v>157</v>
      </c>
    </row>
    <row r="37" spans="1:10" ht="24" customHeight="1" x14ac:dyDescent="0.2">
      <c r="A37" s="117" t="s">
        <v>174</v>
      </c>
      <c r="B37" s="118">
        <v>18</v>
      </c>
      <c r="C37" s="118">
        <v>24</v>
      </c>
      <c r="D37" s="118">
        <v>31</v>
      </c>
      <c r="E37" s="109">
        <f>E21*B17/365</f>
        <v>39.890410958904113</v>
      </c>
      <c r="F37" s="109">
        <f>F21*C17/365</f>
        <v>50.660821917808221</v>
      </c>
      <c r="G37" s="109">
        <f>G21*D17/365</f>
        <v>60.306642410958908</v>
      </c>
      <c r="H37" s="109">
        <f>H21*E17/365</f>
        <v>71.450807373150681</v>
      </c>
      <c r="I37" s="119">
        <f>I21*F17/365</f>
        <v>82.518081366268476</v>
      </c>
      <c r="J37" s="120" t="s">
        <v>175</v>
      </c>
    </row>
    <row r="38" spans="1:10" ht="24" customHeight="1" x14ac:dyDescent="0.2">
      <c r="A38" s="121" t="s">
        <v>176</v>
      </c>
      <c r="B38" s="122">
        <v>12</v>
      </c>
      <c r="C38" s="122">
        <v>16.5</v>
      </c>
      <c r="D38" s="122">
        <v>22</v>
      </c>
      <c r="E38" s="100">
        <f>E21*B15/365</f>
        <v>28.721095890410957</v>
      </c>
      <c r="F38" s="100">
        <f>F21*C15/365</f>
        <v>35.462575342465755</v>
      </c>
      <c r="G38" s="100">
        <f>G21*D15/365</f>
        <v>42.717205041095895</v>
      </c>
      <c r="H38" s="100">
        <f>H21*E15/365</f>
        <v>50.167588155616436</v>
      </c>
      <c r="I38" s="123">
        <f>I21*F15/365</f>
        <v>57.403882689578076</v>
      </c>
      <c r="J38" s="120" t="s">
        <v>177</v>
      </c>
    </row>
    <row r="39" spans="1:10" ht="24" customHeight="1" x14ac:dyDescent="0.2">
      <c r="A39" s="117" t="s">
        <v>178</v>
      </c>
      <c r="B39" s="118">
        <v>15</v>
      </c>
      <c r="C39" s="118">
        <v>19</v>
      </c>
      <c r="D39" s="118">
        <v>26</v>
      </c>
      <c r="E39" s="109">
        <f>ABS(E22)*B16/365</f>
        <v>33.208767123287672</v>
      </c>
      <c r="F39" s="109">
        <f>ABS(F22)*C16/365</f>
        <v>41.795178082191782</v>
      </c>
      <c r="G39" s="109">
        <f>ABS(G22)*D16/365</f>
        <v>52.039606847123281</v>
      </c>
      <c r="H39" s="109">
        <f>ABS(H22)*E16/365</f>
        <v>63.211161076076721</v>
      </c>
      <c r="I39" s="119">
        <f>ABS(I22)*F16/365</f>
        <v>75.138094697989587</v>
      </c>
      <c r="J39" s="120" t="s">
        <v>179</v>
      </c>
    </row>
    <row r="40" spans="1:10" ht="24" customHeight="1" x14ac:dyDescent="0.2">
      <c r="A40" s="124" t="s">
        <v>180</v>
      </c>
      <c r="B40" s="125">
        <v>15</v>
      </c>
      <c r="C40" s="125">
        <v>21.5</v>
      </c>
      <c r="D40" s="125">
        <v>27</v>
      </c>
      <c r="E40" s="104">
        <f>E37+E38-E39</f>
        <v>35.402739726027406</v>
      </c>
      <c r="F40" s="104">
        <f>F37+F38-F39</f>
        <v>44.328219178082193</v>
      </c>
      <c r="G40" s="104">
        <f>G37+G38-G39</f>
        <v>50.984240604931529</v>
      </c>
      <c r="H40" s="104">
        <f>H37+H38-H39</f>
        <v>58.407234452690389</v>
      </c>
      <c r="I40" s="126">
        <f>I37+I38-I39</f>
        <v>64.783869357856972</v>
      </c>
      <c r="J40" s="120" t="s">
        <v>181</v>
      </c>
    </row>
    <row r="41" spans="1:10" ht="24" customHeight="1" x14ac:dyDescent="0.2">
      <c r="A41" s="127" t="s">
        <v>182</v>
      </c>
      <c r="B41" s="128" t="s">
        <v>183</v>
      </c>
      <c r="C41" s="129">
        <v>6.5</v>
      </c>
      <c r="D41" s="129">
        <v>5.5</v>
      </c>
      <c r="E41" s="130">
        <f>E40-D40</f>
        <v>8.4027397260274057</v>
      </c>
      <c r="F41" s="130">
        <f>F40-E40</f>
        <v>8.9254794520547875</v>
      </c>
      <c r="G41" s="130">
        <f>G40-F40</f>
        <v>6.6560214268493354</v>
      </c>
      <c r="H41" s="130">
        <f>H40-G40</f>
        <v>7.4229938477588604</v>
      </c>
      <c r="I41" s="131">
        <f>I40-H40</f>
        <v>6.3766349051665827</v>
      </c>
      <c r="J41" s="120" t="s">
        <v>184</v>
      </c>
    </row>
    <row r="42" spans="1:10" ht="9.7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ht="25.5" customHeight="1" x14ac:dyDescent="0.2">
      <c r="A43" s="87" t="s">
        <v>185</v>
      </c>
      <c r="B43" s="87"/>
      <c r="C43" s="87"/>
      <c r="D43" s="87"/>
      <c r="E43" s="87"/>
      <c r="F43" s="87"/>
      <c r="G43" s="87"/>
      <c r="H43" s="87"/>
      <c r="I43" s="87"/>
    </row>
    <row r="44" spans="1:10" ht="21.75" customHeight="1" x14ac:dyDescent="0.2">
      <c r="A44" s="132" t="s">
        <v>186</v>
      </c>
      <c r="B44" s="132" t="s">
        <v>30</v>
      </c>
      <c r="C44" s="132" t="s">
        <v>31</v>
      </c>
      <c r="D44" s="132" t="s">
        <v>32</v>
      </c>
      <c r="E44" s="132" t="s">
        <v>153</v>
      </c>
      <c r="F44" s="132" t="s">
        <v>154</v>
      </c>
      <c r="G44" s="132" t="s">
        <v>155</v>
      </c>
      <c r="H44" s="132" t="s">
        <v>156</v>
      </c>
      <c r="I44" s="132" t="s">
        <v>157</v>
      </c>
    </row>
    <row r="45" spans="1:10" ht="19.5" customHeight="1" x14ac:dyDescent="0.2">
      <c r="A45" s="133" t="s">
        <v>187</v>
      </c>
      <c r="B45" s="134">
        <v>-1.8</v>
      </c>
      <c r="C45" s="134">
        <v>-2.5</v>
      </c>
      <c r="D45" s="134">
        <v>-3.2</v>
      </c>
      <c r="E45" s="135">
        <v>-1.1000000000000001</v>
      </c>
      <c r="F45" s="135">
        <v>-1.2</v>
      </c>
      <c r="G45" s="135">
        <v>-1.4</v>
      </c>
      <c r="H45" s="135">
        <v>-1.5</v>
      </c>
      <c r="I45" s="135">
        <v>-1.7</v>
      </c>
    </row>
    <row r="46" spans="1:10" ht="19.5" customHeight="1" x14ac:dyDescent="0.2">
      <c r="A46" s="133"/>
      <c r="B46" s="134"/>
      <c r="C46" s="134"/>
      <c r="D46" s="134"/>
      <c r="E46" s="136"/>
      <c r="F46" s="136"/>
      <c r="G46" s="136"/>
      <c r="H46" s="136"/>
      <c r="I46" s="136"/>
    </row>
    <row r="47" spans="1:10" ht="19.5" customHeight="1" x14ac:dyDescent="0.2">
      <c r="A47" s="133"/>
      <c r="B47" s="134"/>
      <c r="C47" s="134"/>
      <c r="D47" s="134"/>
      <c r="E47" s="136"/>
      <c r="F47" s="136"/>
      <c r="G47" s="136"/>
      <c r="H47" s="136"/>
      <c r="I47" s="136"/>
    </row>
    <row r="48" spans="1:10" ht="9.75" customHeight="1" x14ac:dyDescent="0.2">
      <c r="A48" s="10" t="s">
        <v>69</v>
      </c>
      <c r="B48" s="10"/>
      <c r="C48" s="10"/>
      <c r="D48" s="10"/>
      <c r="E48" s="10"/>
      <c r="F48" s="10"/>
      <c r="G48" s="10"/>
      <c r="H48" s="137"/>
      <c r="I48" s="137"/>
    </row>
  </sheetData>
  <mergeCells count="5">
    <mergeCell ref="A1:G4"/>
    <mergeCell ref="A5:G5"/>
    <mergeCell ref="A7:G7"/>
    <mergeCell ref="A19:G19"/>
    <mergeCell ref="A48:G4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G65"/>
  <sheetViews>
    <sheetView showGridLines="0" zoomScale="63" zoomScaleNormal="63" workbookViewId="0">
      <pane ySplit="7" topLeftCell="A8" activePane="bottomLeft" state="frozen"/>
      <selection pane="bottomLeft" activeCell="C17" sqref="C17"/>
    </sheetView>
  </sheetViews>
  <sheetFormatPr defaultColWidth="8.609375" defaultRowHeight="15" x14ac:dyDescent="0.2"/>
  <cols>
    <col min="1" max="1" width="49.09765625" style="15" customWidth="1"/>
    <col min="2" max="2" width="17.62109375" style="15" customWidth="1"/>
    <col min="3" max="3" width="42.5078125" style="15" customWidth="1"/>
    <col min="4" max="5" width="16.27734375" style="15" customWidth="1"/>
    <col min="6" max="7" width="1.4765625" style="15" customWidth="1"/>
  </cols>
  <sheetData>
    <row r="1" spans="1:7" ht="39.75" customHeight="1" x14ac:dyDescent="0.2">
      <c r="A1" s="14" t="s">
        <v>188</v>
      </c>
      <c r="B1" s="14"/>
      <c r="C1" s="14"/>
      <c r="D1" s="14"/>
      <c r="E1" s="14"/>
      <c r="F1" s="14"/>
      <c r="G1" s="14"/>
    </row>
    <row r="2" spans="1:7" ht="7.5" customHeight="1" x14ac:dyDescent="0.2">
      <c r="A2" s="14"/>
      <c r="B2" s="14"/>
      <c r="C2" s="14"/>
      <c r="D2" s="14"/>
      <c r="E2" s="14"/>
      <c r="F2" s="14"/>
      <c r="G2" s="14"/>
    </row>
    <row r="3" spans="1:7" ht="7.5" customHeight="1" x14ac:dyDescent="0.2">
      <c r="A3" s="14"/>
      <c r="B3" s="14"/>
      <c r="C3" s="14"/>
      <c r="D3" s="14"/>
      <c r="E3" s="14"/>
      <c r="F3" s="14"/>
      <c r="G3" s="14"/>
    </row>
    <row r="4" spans="1:7" ht="7.5" customHeight="1" x14ac:dyDescent="0.2">
      <c r="A4" s="14"/>
      <c r="B4" s="14"/>
      <c r="C4" s="14"/>
      <c r="D4" s="14"/>
      <c r="E4" s="14"/>
      <c r="F4" s="14"/>
      <c r="G4" s="14"/>
    </row>
    <row r="5" spans="1:7" ht="7.5" customHeight="1" x14ac:dyDescent="0.2">
      <c r="A5" s="16"/>
      <c r="B5" s="16"/>
      <c r="C5" s="16"/>
      <c r="D5" s="16"/>
      <c r="E5" s="16"/>
      <c r="F5" s="16"/>
      <c r="G5" s="16"/>
    </row>
    <row r="6" spans="1:7" ht="25.5" customHeight="1" x14ac:dyDescent="0.2">
      <c r="A6" s="13" t="s">
        <v>189</v>
      </c>
      <c r="B6" s="13"/>
      <c r="C6" s="13"/>
      <c r="D6" s="13"/>
      <c r="E6" s="13"/>
      <c r="F6" s="13"/>
      <c r="G6" s="13"/>
    </row>
    <row r="7" spans="1:7" ht="21.75" customHeight="1" x14ac:dyDescent="0.2">
      <c r="A7" s="88" t="s">
        <v>190</v>
      </c>
      <c r="B7" s="88" t="s">
        <v>191</v>
      </c>
      <c r="C7" s="88" t="s">
        <v>192</v>
      </c>
      <c r="D7" s="88"/>
      <c r="E7" s="88"/>
      <c r="F7" s="88"/>
      <c r="G7" s="88"/>
    </row>
    <row r="8" spans="1:7" ht="21.75" customHeight="1" x14ac:dyDescent="0.2">
      <c r="A8" s="138" t="s">
        <v>193</v>
      </c>
      <c r="B8" s="92">
        <v>7.1999999999999995E-2</v>
      </c>
      <c r="C8" s="93" t="s">
        <v>194</v>
      </c>
      <c r="D8" s="139"/>
      <c r="E8" s="139"/>
      <c r="F8" s="139"/>
      <c r="G8" s="139"/>
    </row>
    <row r="9" spans="1:7" ht="21.75" customHeight="1" x14ac:dyDescent="0.2">
      <c r="A9" s="140" t="s">
        <v>113</v>
      </c>
      <c r="B9" s="92">
        <v>8.1000000000000003E-2</v>
      </c>
      <c r="C9" s="95" t="s">
        <v>195</v>
      </c>
      <c r="D9" s="141"/>
      <c r="E9" s="141"/>
      <c r="F9" s="141"/>
      <c r="G9" s="141"/>
    </row>
    <row r="10" spans="1:7" ht="21.75" customHeight="1" x14ac:dyDescent="0.2">
      <c r="A10" s="138" t="s">
        <v>116</v>
      </c>
      <c r="B10" s="142">
        <v>1.1499999999999999</v>
      </c>
      <c r="C10" s="93" t="s">
        <v>196</v>
      </c>
      <c r="D10" s="139"/>
      <c r="E10" s="139"/>
      <c r="F10" s="139"/>
      <c r="G10" s="139"/>
    </row>
    <row r="11" spans="1:7" ht="21.75" customHeight="1" x14ac:dyDescent="0.2">
      <c r="A11" s="94" t="s">
        <v>197</v>
      </c>
      <c r="B11" s="143">
        <f>B8+(B10*B9)</f>
        <v>0.16514999999999999</v>
      </c>
      <c r="C11" s="144" t="s">
        <v>198</v>
      </c>
      <c r="D11" s="145"/>
      <c r="E11" s="145"/>
      <c r="F11" s="145"/>
      <c r="G11" s="145"/>
    </row>
    <row r="12" spans="1:7" ht="21.75" customHeight="1" x14ac:dyDescent="0.2">
      <c r="A12" s="138" t="s">
        <v>199</v>
      </c>
      <c r="B12" s="92">
        <v>0.09</v>
      </c>
      <c r="C12" s="93" t="s">
        <v>200</v>
      </c>
      <c r="D12" s="139"/>
      <c r="E12" s="139"/>
      <c r="F12" s="139"/>
      <c r="G12" s="139"/>
    </row>
    <row r="13" spans="1:7" ht="21.75" customHeight="1" x14ac:dyDescent="0.2">
      <c r="A13" s="140" t="s">
        <v>201</v>
      </c>
      <c r="B13" s="92">
        <v>0.25</v>
      </c>
      <c r="C13" s="95" t="s">
        <v>202</v>
      </c>
      <c r="D13" s="141"/>
      <c r="E13" s="141"/>
      <c r="F13" s="141"/>
      <c r="G13" s="141"/>
    </row>
    <row r="14" spans="1:7" ht="21.75" customHeight="1" x14ac:dyDescent="0.2">
      <c r="A14" s="91" t="s">
        <v>203</v>
      </c>
      <c r="B14" s="146">
        <f>B12*(1-B13)</f>
        <v>6.7500000000000004E-2</v>
      </c>
      <c r="C14" s="147" t="s">
        <v>204</v>
      </c>
      <c r="D14" s="139"/>
      <c r="E14" s="139"/>
      <c r="F14" s="139"/>
      <c r="G14" s="139"/>
    </row>
    <row r="15" spans="1:7" ht="21.75" customHeight="1" x14ac:dyDescent="0.2">
      <c r="A15" s="140" t="s">
        <v>205</v>
      </c>
      <c r="B15" s="92">
        <v>0.17499999999999999</v>
      </c>
      <c r="C15" s="95" t="s">
        <v>206</v>
      </c>
      <c r="D15" s="141"/>
      <c r="E15" s="141"/>
      <c r="F15" s="141"/>
      <c r="G15" s="141"/>
    </row>
    <row r="16" spans="1:7" ht="21.75" customHeight="1" x14ac:dyDescent="0.2">
      <c r="A16" s="138" t="s">
        <v>207</v>
      </c>
      <c r="B16" s="146">
        <f>1-B15</f>
        <v>0.82499999999999996</v>
      </c>
      <c r="C16" s="147"/>
      <c r="D16" s="139"/>
      <c r="E16" s="139"/>
      <c r="F16" s="139"/>
      <c r="G16" s="139"/>
    </row>
    <row r="17" spans="1:7" ht="21.75" customHeight="1" x14ac:dyDescent="0.2">
      <c r="A17" s="94" t="s">
        <v>208</v>
      </c>
      <c r="B17" s="143">
        <f>B11*B16+B14*B15</f>
        <v>0.14806124999999998</v>
      </c>
      <c r="C17" s="144" t="s">
        <v>209</v>
      </c>
      <c r="D17" s="145"/>
      <c r="E17" s="145"/>
      <c r="F17" s="145"/>
      <c r="G17" s="145"/>
    </row>
    <row r="18" spans="1:7" ht="9.75" customHeight="1" x14ac:dyDescent="0.2">
      <c r="A18" s="21"/>
      <c r="B18" s="21"/>
      <c r="C18" s="21"/>
      <c r="D18" s="21"/>
      <c r="E18" s="21"/>
      <c r="F18" s="21"/>
      <c r="G18" s="21"/>
    </row>
    <row r="19" spans="1:7" ht="25.5" customHeight="1" x14ac:dyDescent="0.2">
      <c r="A19" s="13" t="s">
        <v>210</v>
      </c>
      <c r="B19" s="13"/>
      <c r="C19" s="13"/>
      <c r="D19" s="13"/>
      <c r="E19" s="13"/>
      <c r="F19" s="13"/>
      <c r="G19" s="13"/>
    </row>
    <row r="20" spans="1:7" ht="21.75" customHeight="1" x14ac:dyDescent="0.2">
      <c r="A20" s="88" t="s">
        <v>29</v>
      </c>
      <c r="B20" s="88" t="s">
        <v>153</v>
      </c>
      <c r="C20" s="88" t="s">
        <v>154</v>
      </c>
      <c r="D20" s="88" t="s">
        <v>155</v>
      </c>
      <c r="E20" s="88" t="s">
        <v>156</v>
      </c>
      <c r="F20" s="88" t="s">
        <v>157</v>
      </c>
      <c r="G20" s="88"/>
    </row>
    <row r="21" spans="1:7" ht="21.75" customHeight="1" x14ac:dyDescent="0.2">
      <c r="A21" s="94" t="s">
        <v>211</v>
      </c>
      <c r="B21" s="148">
        <f>PROJECTIONS!E28</f>
        <v>34.361600000000003</v>
      </c>
      <c r="C21" s="148">
        <f>PROJECTIONS!F28</f>
        <v>45.488352000000006</v>
      </c>
      <c r="D21" s="148">
        <f>PROJECTIONS!G28</f>
        <v>59.157047040000009</v>
      </c>
      <c r="E21" s="148">
        <f>PROJECTIONS!H28</f>
        <v>74.354446566399986</v>
      </c>
      <c r="F21" s="148">
        <f>PROJECTIONS!I28</f>
        <v>90.357299096063983</v>
      </c>
      <c r="G21" s="149"/>
    </row>
    <row r="22" spans="1:7" ht="21.75" customHeight="1" x14ac:dyDescent="0.2">
      <c r="A22" s="138" t="s">
        <v>212</v>
      </c>
      <c r="B22" s="100">
        <f>-B21*B13</f>
        <v>-8.5904000000000007</v>
      </c>
      <c r="C22" s="100">
        <f>-C21*B13</f>
        <v>-11.372088000000002</v>
      </c>
      <c r="D22" s="100">
        <f>-D21*B13</f>
        <v>-14.789261760000002</v>
      </c>
      <c r="E22" s="100">
        <f>-E21*B13</f>
        <v>-18.588611641599996</v>
      </c>
      <c r="F22" s="100">
        <f>-F21*B13</f>
        <v>-22.589324774015996</v>
      </c>
      <c r="G22" s="150"/>
    </row>
    <row r="23" spans="1:7" ht="21.75" customHeight="1" x14ac:dyDescent="0.2">
      <c r="A23" s="94" t="s">
        <v>213</v>
      </c>
      <c r="B23" s="98">
        <f>B21+B22</f>
        <v>25.7712</v>
      </c>
      <c r="C23" s="98">
        <f>C21+C22</f>
        <v>34.116264000000001</v>
      </c>
      <c r="D23" s="98">
        <f>D21+D22</f>
        <v>44.367785280000007</v>
      </c>
      <c r="E23" s="98">
        <f>E21+E22</f>
        <v>55.765834924799989</v>
      </c>
      <c r="F23" s="98">
        <f>F21+F22</f>
        <v>67.767974322047991</v>
      </c>
      <c r="G23" s="149"/>
    </row>
    <row r="24" spans="1:7" ht="21.75" customHeight="1" x14ac:dyDescent="0.2">
      <c r="A24" s="138" t="s">
        <v>214</v>
      </c>
      <c r="B24" s="151">
        <f>ABS(PROJECTIONS!E27)</f>
        <v>3.4943999999999997</v>
      </c>
      <c r="C24" s="151">
        <f>ABS(PROJECTIONS!F27)</f>
        <v>4.4378880000000001</v>
      </c>
      <c r="D24" s="151">
        <f>ABS(PROJECTIONS!G27)</f>
        <v>5.0443993599999999</v>
      </c>
      <c r="E24" s="151">
        <f>ABS(PROJECTIONS!H27)</f>
        <v>6.1037232255999996</v>
      </c>
      <c r="F24" s="151">
        <f>ABS(PROJECTIONS!I27)</f>
        <v>6.5476303692799993</v>
      </c>
      <c r="G24" s="150"/>
    </row>
    <row r="25" spans="1:7" ht="21.75" customHeight="1" x14ac:dyDescent="0.2">
      <c r="A25" s="140" t="s">
        <v>215</v>
      </c>
      <c r="B25" s="148">
        <f>-PROJECTIONS!E21*PROJECTIONS!B14</f>
        <v>-10.192</v>
      </c>
      <c r="C25" s="148">
        <f>-PROJECTIONS!F21*PROJECTIONS!C14</f>
        <v>-12.943840000000002</v>
      </c>
      <c r="D25" s="148">
        <f>-PROJECTIONS!G21*PROJECTIONS!D14</f>
        <v>-18.343270400000002</v>
      </c>
      <c r="E25" s="148">
        <f>-PROJECTIONS!H21*PROJECTIONS!E14</f>
        <v>-21.085589324799997</v>
      </c>
      <c r="F25" s="148">
        <f>-PROJECTIONS!I21*PROJECTIONS!F14</f>
        <v>-22.916706292479997</v>
      </c>
      <c r="G25" s="152"/>
    </row>
    <row r="26" spans="1:7" ht="21.75" customHeight="1" x14ac:dyDescent="0.2">
      <c r="A26" s="138" t="s">
        <v>216</v>
      </c>
      <c r="B26" s="151">
        <f>-PROJECTIONS!E41</f>
        <v>-8.4027397260274057</v>
      </c>
      <c r="C26" s="151">
        <f>-PROJECTIONS!F41</f>
        <v>-8.9254794520547875</v>
      </c>
      <c r="D26" s="151">
        <f>-PROJECTIONS!G41</f>
        <v>-6.6560214268493354</v>
      </c>
      <c r="E26" s="151">
        <f>-PROJECTIONS!H41</f>
        <v>-7.4229938477588604</v>
      </c>
      <c r="F26" s="151">
        <f>-PROJECTIONS!I41</f>
        <v>-6.3766349051665827</v>
      </c>
      <c r="G26" s="150"/>
    </row>
    <row r="27" spans="1:7" ht="21.75" customHeight="1" x14ac:dyDescent="0.2">
      <c r="A27" s="94" t="s">
        <v>217</v>
      </c>
      <c r="B27" s="98">
        <f>B23+B24+B25+B26</f>
        <v>10.670860273972593</v>
      </c>
      <c r="C27" s="98">
        <f>C23+C24+C25+C26</f>
        <v>16.684832547945213</v>
      </c>
      <c r="D27" s="98">
        <f>D23+D24+D25+D26</f>
        <v>24.41289281315067</v>
      </c>
      <c r="E27" s="98">
        <f>E23+E24+E25+E26</f>
        <v>33.360974977841131</v>
      </c>
      <c r="F27" s="98">
        <f>F23+F24+F25+F26</f>
        <v>45.022263493681407</v>
      </c>
      <c r="G27" s="149"/>
    </row>
    <row r="28" spans="1:7" ht="21.75" customHeight="1" x14ac:dyDescent="0.2">
      <c r="A28" s="138" t="s">
        <v>218</v>
      </c>
      <c r="B28" s="153">
        <f>1/(1+B17)^1</f>
        <v>0.8710336665400038</v>
      </c>
      <c r="C28" s="153">
        <f>1/(1+B17)^2</f>
        <v>0.75869964824612257</v>
      </c>
      <c r="D28" s="153">
        <f>1/(1+B17)^3</f>
        <v>0.66085293641443132</v>
      </c>
      <c r="E28" s="153">
        <f>1/(1+B17)^4</f>
        <v>0.57562515624879018</v>
      </c>
      <c r="F28" s="153">
        <f>1/(1+B17)^5</f>
        <v>0.50138889040004631</v>
      </c>
      <c r="G28" s="150"/>
    </row>
    <row r="29" spans="1:7" ht="21.75" customHeight="1" x14ac:dyDescent="0.2">
      <c r="A29" s="94" t="s">
        <v>219</v>
      </c>
      <c r="B29" s="154">
        <f>B27*B28</f>
        <v>9.2946785495744173</v>
      </c>
      <c r="C29" s="154">
        <f>C27*C28</f>
        <v>12.65877658517149</v>
      </c>
      <c r="D29" s="154">
        <f>D27*D28</f>
        <v>16.133331901941386</v>
      </c>
      <c r="E29" s="154">
        <f>E27*E28</f>
        <v>19.20341643423178</v>
      </c>
      <c r="F29" s="154">
        <f>F27*F28</f>
        <v>22.573662736395434</v>
      </c>
      <c r="G29" s="155"/>
    </row>
    <row r="30" spans="1:7" ht="7.5" customHeight="1" x14ac:dyDescent="0.2">
      <c r="A30" s="21"/>
      <c r="B30" s="21"/>
      <c r="C30" s="21"/>
      <c r="D30" s="21"/>
      <c r="E30" s="21"/>
      <c r="F30" s="21"/>
      <c r="G30" s="21"/>
    </row>
    <row r="31" spans="1:7" ht="43.5" customHeight="1" x14ac:dyDescent="0.2">
      <c r="A31" s="12" t="s">
        <v>220</v>
      </c>
      <c r="B31" s="12"/>
      <c r="C31" s="12"/>
      <c r="D31" s="12"/>
      <c r="E31" s="12"/>
      <c r="F31" s="12"/>
      <c r="G31" s="12"/>
    </row>
    <row r="32" spans="1:7" ht="7.5" customHeight="1" x14ac:dyDescent="0.2">
      <c r="A32" s="21"/>
      <c r="B32" s="21"/>
      <c r="C32" s="21"/>
      <c r="D32" s="21"/>
      <c r="E32" s="21"/>
      <c r="F32" s="21"/>
      <c r="G32" s="21"/>
    </row>
    <row r="33" spans="1:7" ht="25.5" customHeight="1" x14ac:dyDescent="0.2">
      <c r="A33" s="13" t="s">
        <v>221</v>
      </c>
      <c r="B33" s="13"/>
      <c r="C33" s="13"/>
      <c r="D33" s="13"/>
      <c r="E33" s="13"/>
      <c r="F33" s="13"/>
      <c r="G33" s="13"/>
    </row>
    <row r="34" spans="1:7" ht="21.75" customHeight="1" x14ac:dyDescent="0.2">
      <c r="A34" s="88" t="s">
        <v>222</v>
      </c>
      <c r="B34" s="88" t="s">
        <v>191</v>
      </c>
      <c r="C34" s="88" t="s">
        <v>192</v>
      </c>
      <c r="D34" s="88"/>
      <c r="E34" s="88"/>
      <c r="F34" s="88"/>
      <c r="G34" s="88"/>
    </row>
    <row r="35" spans="1:7" ht="21.75" customHeight="1" x14ac:dyDescent="0.2">
      <c r="A35" s="140" t="s">
        <v>126</v>
      </c>
      <c r="B35" s="92">
        <v>6.5000000000000002E-2</v>
      </c>
      <c r="C35" s="95" t="s">
        <v>223</v>
      </c>
      <c r="D35" s="141"/>
      <c r="E35" s="141"/>
      <c r="F35" s="141"/>
      <c r="G35" s="141"/>
    </row>
    <row r="36" spans="1:7" ht="21.75" customHeight="1" x14ac:dyDescent="0.2">
      <c r="A36" s="138" t="s">
        <v>224</v>
      </c>
      <c r="B36" s="151">
        <f>F27</f>
        <v>45.022263493681407</v>
      </c>
      <c r="C36" s="93" t="s">
        <v>225</v>
      </c>
      <c r="D36" s="139"/>
      <c r="E36" s="139"/>
      <c r="F36" s="139"/>
      <c r="G36" s="139"/>
    </row>
    <row r="37" spans="1:7" ht="21.75" customHeight="1" x14ac:dyDescent="0.2">
      <c r="A37" s="94" t="s">
        <v>226</v>
      </c>
      <c r="B37" s="98">
        <f>B36*(1+B35)/(B17-B35)</f>
        <v>577.26931175211917</v>
      </c>
      <c r="C37" s="144" t="s">
        <v>227</v>
      </c>
      <c r="D37" s="145"/>
      <c r="E37" s="145"/>
      <c r="F37" s="145"/>
      <c r="G37" s="145"/>
    </row>
    <row r="38" spans="1:7" ht="21.75" customHeight="1" x14ac:dyDescent="0.2">
      <c r="A38" s="138" t="s">
        <v>228</v>
      </c>
      <c r="B38" s="153">
        <f>1/(1+B17)^5</f>
        <v>0.50138889040004631</v>
      </c>
      <c r="C38" s="147" t="s">
        <v>229</v>
      </c>
      <c r="D38" s="139"/>
      <c r="E38" s="139"/>
      <c r="F38" s="139"/>
      <c r="G38" s="139"/>
    </row>
    <row r="39" spans="1:7" ht="21.75" customHeight="1" x14ac:dyDescent="0.2">
      <c r="A39" s="94" t="s">
        <v>230</v>
      </c>
      <c r="B39" s="156">
        <f>B37*B38</f>
        <v>289.43641968139343</v>
      </c>
      <c r="C39" s="144" t="s">
        <v>231</v>
      </c>
      <c r="D39" s="145"/>
      <c r="E39" s="145"/>
      <c r="F39" s="145"/>
      <c r="G39" s="145"/>
    </row>
    <row r="40" spans="1:7" ht="7.5" customHeight="1" x14ac:dyDescent="0.2">
      <c r="A40" s="21"/>
      <c r="B40" s="21"/>
      <c r="C40" s="21"/>
      <c r="D40" s="21"/>
      <c r="E40" s="21"/>
      <c r="F40" s="21"/>
      <c r="G40" s="21"/>
    </row>
    <row r="41" spans="1:7" ht="7.5" customHeight="1" x14ac:dyDescent="0.2">
      <c r="A41" s="21"/>
      <c r="B41" s="21"/>
      <c r="C41" s="21"/>
      <c r="D41" s="21"/>
      <c r="E41" s="21"/>
      <c r="F41" s="21"/>
      <c r="G41" s="21"/>
    </row>
    <row r="42" spans="1:7" ht="25.5" customHeight="1" x14ac:dyDescent="0.2">
      <c r="A42" s="13" t="s">
        <v>232</v>
      </c>
      <c r="B42" s="13"/>
      <c r="C42" s="13"/>
      <c r="D42" s="13"/>
      <c r="E42" s="13"/>
      <c r="F42" s="13"/>
      <c r="G42" s="13"/>
    </row>
    <row r="43" spans="1:7" ht="21.75" customHeight="1" x14ac:dyDescent="0.2">
      <c r="A43" s="88" t="s">
        <v>222</v>
      </c>
      <c r="B43" s="88" t="s">
        <v>29</v>
      </c>
      <c r="C43" s="88" t="s">
        <v>192</v>
      </c>
      <c r="D43" s="88"/>
      <c r="E43" s="88"/>
      <c r="F43" s="88"/>
      <c r="G43" s="88"/>
    </row>
    <row r="44" spans="1:7" ht="21.75" customHeight="1" x14ac:dyDescent="0.2">
      <c r="A44" s="138" t="s">
        <v>233</v>
      </c>
      <c r="B44" s="104">
        <f>SUM(B29:F29)</f>
        <v>79.863866207314516</v>
      </c>
      <c r="C44" s="147" t="s">
        <v>234</v>
      </c>
      <c r="D44" s="139"/>
      <c r="E44" s="139"/>
      <c r="F44" s="139"/>
      <c r="G44" s="139"/>
    </row>
    <row r="45" spans="1:7" ht="21.75" customHeight="1" x14ac:dyDescent="0.2">
      <c r="A45" s="140" t="s">
        <v>235</v>
      </c>
      <c r="B45" s="148">
        <f>B39</f>
        <v>289.43641968139343</v>
      </c>
      <c r="C45" s="157" t="s">
        <v>236</v>
      </c>
      <c r="D45" s="141"/>
      <c r="E45" s="141"/>
      <c r="F45" s="141"/>
      <c r="G45" s="141"/>
    </row>
    <row r="46" spans="1:7" ht="21.75" customHeight="1" x14ac:dyDescent="0.2">
      <c r="A46" s="91" t="s">
        <v>237</v>
      </c>
      <c r="B46" s="104">
        <f>B44+B45</f>
        <v>369.30028588870795</v>
      </c>
      <c r="C46" s="158" t="s">
        <v>238</v>
      </c>
      <c r="D46" s="159"/>
      <c r="E46" s="159"/>
      <c r="F46" s="159"/>
      <c r="G46" s="159"/>
    </row>
    <row r="47" spans="1:7" ht="21.75" customHeight="1" x14ac:dyDescent="0.2">
      <c r="A47" s="140" t="s">
        <v>239</v>
      </c>
      <c r="B47" s="111">
        <v>-16</v>
      </c>
      <c r="C47" s="95" t="s">
        <v>240</v>
      </c>
      <c r="D47" s="141"/>
      <c r="E47" s="141"/>
      <c r="F47" s="141"/>
      <c r="G47" s="141"/>
    </row>
    <row r="48" spans="1:7" ht="21.75" customHeight="1" x14ac:dyDescent="0.2">
      <c r="A48" s="91" t="s">
        <v>241</v>
      </c>
      <c r="B48" s="104">
        <f>B46-B47</f>
        <v>385.30028588870795</v>
      </c>
      <c r="C48" s="158" t="s">
        <v>242</v>
      </c>
      <c r="D48" s="159"/>
      <c r="E48" s="159"/>
      <c r="F48" s="159"/>
      <c r="G48" s="159"/>
    </row>
    <row r="49" spans="1:7" ht="21.75" customHeight="1" x14ac:dyDescent="0.2">
      <c r="A49" s="140" t="s">
        <v>243</v>
      </c>
      <c r="B49" s="160">
        <v>10</v>
      </c>
      <c r="C49" s="157" t="s">
        <v>244</v>
      </c>
      <c r="D49" s="141"/>
      <c r="E49" s="141"/>
      <c r="F49" s="141"/>
      <c r="G49" s="141"/>
    </row>
    <row r="50" spans="1:7" ht="21.75" customHeight="1" x14ac:dyDescent="0.2">
      <c r="A50" s="91" t="s">
        <v>245</v>
      </c>
      <c r="B50" s="161">
        <f>B48/B49</f>
        <v>38.530028588870792</v>
      </c>
      <c r="C50" s="158" t="s">
        <v>246</v>
      </c>
      <c r="D50" s="159"/>
      <c r="E50" s="159"/>
      <c r="F50" s="159"/>
      <c r="G50" s="159"/>
    </row>
    <row r="51" spans="1:7" ht="21.75" customHeight="1" x14ac:dyDescent="0.2">
      <c r="A51" s="162" t="s">
        <v>247</v>
      </c>
      <c r="B51" s="163">
        <f>B50*0.9</f>
        <v>34.677025729983711</v>
      </c>
      <c r="C51" s="164" t="s">
        <v>248</v>
      </c>
      <c r="D51" s="165"/>
      <c r="E51" s="165"/>
      <c r="F51" s="165"/>
      <c r="G51" s="165"/>
    </row>
    <row r="52" spans="1:7" ht="21.75" customHeight="1" x14ac:dyDescent="0.2">
      <c r="A52" s="162" t="s">
        <v>249</v>
      </c>
      <c r="B52" s="163">
        <f>B50*1.1</f>
        <v>42.383031447757872</v>
      </c>
      <c r="C52" s="164" t="s">
        <v>250</v>
      </c>
      <c r="D52" s="165"/>
      <c r="E52" s="165"/>
      <c r="F52" s="165"/>
      <c r="G52" s="165"/>
    </row>
    <row r="53" spans="1:7" ht="7.5" customHeight="1" x14ac:dyDescent="0.2">
      <c r="A53" s="21"/>
      <c r="B53" s="21"/>
      <c r="C53" s="21"/>
      <c r="D53" s="21"/>
      <c r="E53" s="21"/>
      <c r="F53" s="21"/>
      <c r="G53" s="21"/>
    </row>
    <row r="54" spans="1:7" ht="7.5" customHeight="1" x14ac:dyDescent="0.2">
      <c r="A54" s="21"/>
      <c r="B54" s="21"/>
      <c r="C54" s="21"/>
      <c r="D54" s="21"/>
      <c r="E54" s="21"/>
      <c r="F54" s="21"/>
      <c r="G54" s="21"/>
    </row>
    <row r="55" spans="1:7" ht="25.5" customHeight="1" x14ac:dyDescent="0.2">
      <c r="A55" s="13" t="s">
        <v>251</v>
      </c>
      <c r="B55" s="13"/>
      <c r="C55" s="13"/>
      <c r="D55" s="13"/>
      <c r="E55" s="13"/>
      <c r="F55" s="13"/>
      <c r="G55" s="13"/>
    </row>
    <row r="56" spans="1:7" ht="21.75" customHeight="1" x14ac:dyDescent="0.2">
      <c r="A56" s="166" t="s">
        <v>252</v>
      </c>
      <c r="B56" s="167">
        <v>0.03</v>
      </c>
      <c r="C56" s="167">
        <v>0.04</v>
      </c>
      <c r="D56" s="168">
        <v>0.05</v>
      </c>
      <c r="E56" s="167">
        <v>0.06</v>
      </c>
      <c r="F56" s="169"/>
      <c r="G56" s="169"/>
    </row>
    <row r="57" spans="1:7" ht="21.75" customHeight="1" x14ac:dyDescent="0.2">
      <c r="A57" s="167">
        <v>0.08</v>
      </c>
      <c r="B57" s="170" t="s">
        <v>253</v>
      </c>
      <c r="C57" s="170" t="s">
        <v>253</v>
      </c>
      <c r="D57" s="171" t="s">
        <v>253</v>
      </c>
      <c r="E57" s="170" t="s">
        <v>253</v>
      </c>
      <c r="F57" s="169"/>
      <c r="G57" s="169"/>
    </row>
    <row r="58" spans="1:7" ht="21.75" customHeight="1" x14ac:dyDescent="0.2">
      <c r="A58" s="167">
        <v>0.09</v>
      </c>
      <c r="B58" s="170" t="s">
        <v>253</v>
      </c>
      <c r="C58" s="170" t="s">
        <v>253</v>
      </c>
      <c r="D58" s="171" t="s">
        <v>253</v>
      </c>
      <c r="E58" s="170" t="s">
        <v>253</v>
      </c>
      <c r="F58" s="169"/>
      <c r="G58" s="169"/>
    </row>
    <row r="59" spans="1:7" ht="21.75" customHeight="1" x14ac:dyDescent="0.2">
      <c r="A59" s="167">
        <v>0.1</v>
      </c>
      <c r="B59" s="170" t="s">
        <v>253</v>
      </c>
      <c r="C59" s="170" t="s">
        <v>253</v>
      </c>
      <c r="D59" s="171" t="s">
        <v>253</v>
      </c>
      <c r="E59" s="170" t="s">
        <v>253</v>
      </c>
      <c r="F59" s="169"/>
      <c r="G59" s="169"/>
    </row>
    <row r="60" spans="1:7" ht="21.75" customHeight="1" x14ac:dyDescent="0.2">
      <c r="A60" s="167">
        <v>0.11</v>
      </c>
      <c r="B60" s="170" t="s">
        <v>253</v>
      </c>
      <c r="C60" s="170" t="s">
        <v>253</v>
      </c>
      <c r="D60" s="171" t="s">
        <v>253</v>
      </c>
      <c r="E60" s="170" t="s">
        <v>253</v>
      </c>
      <c r="F60" s="169"/>
      <c r="G60" s="169"/>
    </row>
    <row r="61" spans="1:7" ht="21.75" customHeight="1" x14ac:dyDescent="0.2">
      <c r="A61" s="167">
        <v>0.12</v>
      </c>
      <c r="B61" s="170" t="s">
        <v>253</v>
      </c>
      <c r="C61" s="170" t="s">
        <v>253</v>
      </c>
      <c r="D61" s="171" t="s">
        <v>253</v>
      </c>
      <c r="E61" s="170" t="s">
        <v>253</v>
      </c>
      <c r="F61" s="169"/>
      <c r="G61" s="169"/>
    </row>
    <row r="62" spans="1:7" ht="7.5" customHeight="1" x14ac:dyDescent="0.2">
      <c r="A62" s="21"/>
      <c r="B62" s="21"/>
      <c r="C62" s="21"/>
      <c r="D62" s="21"/>
      <c r="E62" s="21"/>
      <c r="F62" s="169"/>
      <c r="G62" s="169"/>
    </row>
    <row r="63" spans="1:7" ht="43.5" customHeight="1" x14ac:dyDescent="0.2">
      <c r="A63" s="11" t="s">
        <v>254</v>
      </c>
      <c r="B63" s="11"/>
      <c r="C63" s="11"/>
      <c r="D63" s="11"/>
      <c r="E63" s="11"/>
      <c r="F63" s="11"/>
      <c r="G63" s="11"/>
    </row>
    <row r="64" spans="1:7" ht="7.5" customHeight="1" x14ac:dyDescent="0.2">
      <c r="A64" s="21"/>
      <c r="B64" s="21"/>
      <c r="C64" s="21"/>
      <c r="D64" s="21"/>
      <c r="E64" s="21"/>
      <c r="F64" s="169"/>
      <c r="G64" s="169"/>
    </row>
    <row r="65" spans="1:7" ht="19.5" customHeight="1" x14ac:dyDescent="0.2">
      <c r="A65" s="10" t="s">
        <v>69</v>
      </c>
      <c r="B65" s="10"/>
      <c r="C65" s="10"/>
      <c r="D65" s="10"/>
      <c r="E65" s="10"/>
      <c r="F65" s="10"/>
      <c r="G65" s="10"/>
    </row>
  </sheetData>
  <mergeCells count="9">
    <mergeCell ref="A42:G42"/>
    <mergeCell ref="A55:G55"/>
    <mergeCell ref="A63:G63"/>
    <mergeCell ref="A65:G65"/>
    <mergeCell ref="A1:G4"/>
    <mergeCell ref="A6:G6"/>
    <mergeCell ref="A19:G19"/>
    <mergeCell ref="A31:G31"/>
    <mergeCell ref="A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5309"/>
  </sheetPr>
  <dimension ref="A1:J44"/>
  <sheetViews>
    <sheetView showGridLines="0" topLeftCell="A23" zoomScale="57" zoomScaleNormal="57" workbookViewId="0">
      <selection activeCell="B14" sqref="B14"/>
    </sheetView>
  </sheetViews>
  <sheetFormatPr defaultColWidth="8.609375" defaultRowHeight="15" x14ac:dyDescent="0.2"/>
  <cols>
    <col min="1" max="1" width="36.9921875" style="172" customWidth="1"/>
    <col min="2" max="2" width="19.1015625" style="15" customWidth="1"/>
    <col min="3" max="3" width="17.62109375" style="15" customWidth="1"/>
    <col min="4" max="6" width="16.6796875" style="15" customWidth="1"/>
    <col min="7" max="9" width="15.73828125" style="15" customWidth="1"/>
    <col min="10" max="10" width="17.62109375" style="15" customWidth="1"/>
  </cols>
  <sheetData>
    <row r="1" spans="1:10" ht="39.75" customHeight="1" x14ac:dyDescent="0.2">
      <c r="A1" s="254" t="s">
        <v>255</v>
      </c>
      <c r="B1" s="254"/>
      <c r="C1" s="254"/>
      <c r="D1" s="254"/>
      <c r="E1" s="254"/>
      <c r="F1" s="254"/>
      <c r="G1" s="254"/>
      <c r="H1" s="254"/>
      <c r="I1" s="254"/>
      <c r="J1" s="254"/>
    </row>
    <row r="2" spans="1:10" ht="7.5" customHeight="1" x14ac:dyDescent="0.2">
      <c r="A2" s="254"/>
      <c r="B2" s="254"/>
      <c r="C2" s="254"/>
      <c r="D2" s="254"/>
      <c r="E2" s="254"/>
      <c r="F2" s="254"/>
      <c r="G2" s="254"/>
      <c r="H2" s="254"/>
      <c r="I2" s="254"/>
      <c r="J2" s="254"/>
    </row>
    <row r="3" spans="1:10" ht="7.5" customHeight="1" x14ac:dyDescent="0.2">
      <c r="A3" s="254"/>
      <c r="B3" s="254"/>
      <c r="C3" s="254"/>
      <c r="D3" s="254"/>
      <c r="E3" s="254"/>
      <c r="F3" s="254"/>
      <c r="G3" s="254"/>
      <c r="H3" s="254"/>
      <c r="I3" s="254"/>
      <c r="J3" s="254"/>
    </row>
    <row r="4" spans="1:10" ht="7.5" customHeight="1" x14ac:dyDescent="0.2">
      <c r="A4" s="254"/>
      <c r="B4" s="254"/>
      <c r="C4" s="254"/>
      <c r="D4" s="254"/>
      <c r="E4" s="254"/>
      <c r="F4" s="254"/>
      <c r="G4" s="254"/>
      <c r="H4" s="254"/>
      <c r="I4" s="254"/>
      <c r="J4" s="254"/>
    </row>
    <row r="5" spans="1:10" ht="7.5" customHeight="1" x14ac:dyDescent="0.2">
      <c r="A5" s="173"/>
      <c r="B5" s="16"/>
      <c r="C5" s="16"/>
      <c r="D5" s="16"/>
      <c r="E5" s="16"/>
      <c r="F5" s="16"/>
      <c r="G5" s="16"/>
      <c r="H5" s="16"/>
      <c r="I5" s="16"/>
      <c r="J5" s="16"/>
    </row>
    <row r="6" spans="1:10" ht="28.5" customHeight="1" x14ac:dyDescent="0.2">
      <c r="A6" s="174" t="s">
        <v>256</v>
      </c>
      <c r="B6" s="88" t="s">
        <v>257</v>
      </c>
      <c r="C6" s="88" t="s">
        <v>258</v>
      </c>
      <c r="D6" s="88" t="s">
        <v>259</v>
      </c>
      <c r="E6" s="88" t="s">
        <v>260</v>
      </c>
      <c r="F6" s="88" t="s">
        <v>261</v>
      </c>
      <c r="G6" s="88" t="s">
        <v>262</v>
      </c>
      <c r="H6" s="88" t="s">
        <v>263</v>
      </c>
      <c r="I6" s="88" t="s">
        <v>264</v>
      </c>
      <c r="J6" s="88" t="s">
        <v>83</v>
      </c>
    </row>
    <row r="7" spans="1:10" ht="21.75" customHeight="1" x14ac:dyDescent="0.2">
      <c r="A7" s="175" t="s">
        <v>265</v>
      </c>
      <c r="B7" s="176">
        <v>11500</v>
      </c>
      <c r="C7" s="176">
        <v>10780</v>
      </c>
      <c r="D7" s="176">
        <v>1800</v>
      </c>
      <c r="E7" s="176">
        <v>225</v>
      </c>
      <c r="F7" s="177">
        <v>5.99</v>
      </c>
      <c r="G7" s="178">
        <v>47.9</v>
      </c>
      <c r="H7" s="178">
        <v>85</v>
      </c>
      <c r="I7" s="179">
        <v>0.22</v>
      </c>
      <c r="J7" s="179">
        <v>0.125</v>
      </c>
    </row>
    <row r="8" spans="1:10" ht="21.75" customHeight="1" x14ac:dyDescent="0.2">
      <c r="A8" s="180" t="s">
        <v>266</v>
      </c>
      <c r="B8" s="181">
        <v>12800</v>
      </c>
      <c r="C8" s="181">
        <v>12760</v>
      </c>
      <c r="D8" s="181">
        <v>1680</v>
      </c>
      <c r="E8" s="181">
        <v>208</v>
      </c>
      <c r="F8" s="182">
        <v>7.6</v>
      </c>
      <c r="G8" s="183">
        <v>61.3</v>
      </c>
      <c r="H8" s="183">
        <v>61</v>
      </c>
      <c r="I8" s="184">
        <v>0.18</v>
      </c>
      <c r="J8" s="184">
        <v>0.124</v>
      </c>
    </row>
    <row r="9" spans="1:10" ht="21.75" customHeight="1" x14ac:dyDescent="0.2">
      <c r="A9" s="175" t="s">
        <v>267</v>
      </c>
      <c r="B9" s="176">
        <v>2900</v>
      </c>
      <c r="C9" s="176">
        <v>2920</v>
      </c>
      <c r="D9" s="176">
        <v>980</v>
      </c>
      <c r="E9" s="176">
        <v>78</v>
      </c>
      <c r="F9" s="177">
        <v>2.98</v>
      </c>
      <c r="G9" s="178">
        <v>37.4</v>
      </c>
      <c r="H9" s="178">
        <v>37</v>
      </c>
      <c r="I9" s="179">
        <v>0.15</v>
      </c>
      <c r="J9" s="179">
        <v>0.08</v>
      </c>
    </row>
    <row r="10" spans="1:10" ht="21.75" customHeight="1" x14ac:dyDescent="0.2">
      <c r="A10" s="180" t="s">
        <v>268</v>
      </c>
      <c r="B10" s="181">
        <v>15200</v>
      </c>
      <c r="C10" s="181">
        <v>14000</v>
      </c>
      <c r="D10" s="181">
        <v>3800</v>
      </c>
      <c r="E10" s="181">
        <v>760</v>
      </c>
      <c r="F10" s="182">
        <v>3.68</v>
      </c>
      <c r="G10" s="183">
        <v>18.399999999999999</v>
      </c>
      <c r="H10" s="183">
        <v>18</v>
      </c>
      <c r="I10" s="184">
        <v>0.08</v>
      </c>
      <c r="J10" s="184">
        <v>0.2</v>
      </c>
    </row>
    <row r="11" spans="1:10" ht="21.75" customHeight="1" x14ac:dyDescent="0.2">
      <c r="A11" s="175" t="s">
        <v>269</v>
      </c>
      <c r="B11" s="176">
        <v>7400</v>
      </c>
      <c r="C11" s="176">
        <v>7170</v>
      </c>
      <c r="D11" s="176">
        <v>3600</v>
      </c>
      <c r="E11" s="176">
        <v>324</v>
      </c>
      <c r="F11" s="177">
        <v>1.99</v>
      </c>
      <c r="G11" s="178">
        <v>22.1</v>
      </c>
      <c r="H11" s="178">
        <v>22</v>
      </c>
      <c r="I11" s="179">
        <v>0.12</v>
      </c>
      <c r="J11" s="179">
        <v>0.09</v>
      </c>
    </row>
    <row r="12" spans="1:10" ht="9.75" customHeight="1" x14ac:dyDescent="0.2">
      <c r="A12" s="255"/>
      <c r="B12" s="255"/>
      <c r="C12" s="255"/>
      <c r="D12" s="255"/>
      <c r="E12" s="255"/>
      <c r="F12" s="255"/>
      <c r="G12" s="255"/>
      <c r="H12" s="255"/>
      <c r="I12" s="255"/>
      <c r="J12" s="255"/>
    </row>
    <row r="13" spans="1:10" ht="25.5" customHeight="1" x14ac:dyDescent="0.2">
      <c r="A13" s="256" t="s">
        <v>270</v>
      </c>
      <c r="B13" s="256"/>
      <c r="C13" s="256"/>
      <c r="D13" s="256"/>
      <c r="E13" s="256"/>
      <c r="F13" s="256"/>
      <c r="G13" s="256"/>
      <c r="H13" s="256"/>
      <c r="I13" s="256"/>
      <c r="J13" s="256"/>
    </row>
    <row r="14" spans="1:10" ht="21.75" customHeight="1" x14ac:dyDescent="0.2">
      <c r="A14" s="174" t="s">
        <v>271</v>
      </c>
      <c r="B14" s="185"/>
      <c r="C14" s="88" t="s">
        <v>272</v>
      </c>
      <c r="D14" s="88" t="s">
        <v>273</v>
      </c>
      <c r="E14" s="88" t="s">
        <v>274</v>
      </c>
      <c r="F14" s="88" t="s">
        <v>275</v>
      </c>
      <c r="G14" s="186"/>
      <c r="H14" s="187"/>
      <c r="I14" s="187"/>
      <c r="J14" s="187"/>
    </row>
    <row r="15" spans="1:10" ht="21.75" customHeight="1" x14ac:dyDescent="0.2">
      <c r="A15" s="58" t="s">
        <v>261</v>
      </c>
      <c r="B15" s="188"/>
      <c r="C15" s="189">
        <f>MEDIAN(F7:F11)</f>
        <v>3.68</v>
      </c>
      <c r="D15" s="190">
        <f>AVERAGE(F7:F11)</f>
        <v>4.4479999999999995</v>
      </c>
      <c r="E15" s="190">
        <f>QUARTILE(F7:F11,1)</f>
        <v>2.98</v>
      </c>
      <c r="F15" s="190">
        <f>QUARTILE(F7:F11,3)</f>
        <v>5.99</v>
      </c>
      <c r="G15" s="191"/>
      <c r="H15" s="141"/>
      <c r="I15" s="141"/>
      <c r="J15" s="141"/>
    </row>
    <row r="16" spans="1:10" ht="21.75" customHeight="1" x14ac:dyDescent="0.2">
      <c r="A16" s="60" t="s">
        <v>262</v>
      </c>
      <c r="B16" s="188"/>
      <c r="C16" s="192">
        <f>MEDIAN(G7:G11)</f>
        <v>37.4</v>
      </c>
      <c r="D16" s="193">
        <f>AVERAGE(G7:G11)</f>
        <v>37.42</v>
      </c>
      <c r="E16" s="193">
        <f>QUARTILE(G7:G11,1)</f>
        <v>22.1</v>
      </c>
      <c r="F16" s="193">
        <f>QUARTILE(G7:G11,3)</f>
        <v>47.9</v>
      </c>
      <c r="G16" s="191"/>
      <c r="H16" s="141"/>
      <c r="I16" s="141"/>
      <c r="J16" s="141"/>
    </row>
    <row r="17" spans="1:10" ht="21.75" customHeight="1" x14ac:dyDescent="0.2">
      <c r="A17" s="58" t="s">
        <v>263</v>
      </c>
      <c r="B17" s="188"/>
      <c r="C17" s="194">
        <f>MEDIAN(H7:H11)</f>
        <v>37</v>
      </c>
      <c r="D17" s="195">
        <f>AVERAGE(H7:H11)</f>
        <v>44.6</v>
      </c>
      <c r="E17" s="195">
        <f>QUARTILE(H7:H11,1)</f>
        <v>22</v>
      </c>
      <c r="F17" s="195">
        <f>QUARTILE(H7:H11,3)</f>
        <v>61</v>
      </c>
      <c r="G17" s="191"/>
      <c r="H17" s="141"/>
      <c r="I17" s="141"/>
      <c r="J17" s="141"/>
    </row>
    <row r="18" spans="1:10" ht="21.75" customHeight="1" x14ac:dyDescent="0.2">
      <c r="A18" s="60" t="s">
        <v>276</v>
      </c>
      <c r="B18" s="188"/>
      <c r="C18" s="196">
        <f>MEDIAN(I7:I11)</f>
        <v>0.15</v>
      </c>
      <c r="D18" s="102">
        <f>AVERAGE(I7:I11)</f>
        <v>0.15</v>
      </c>
      <c r="E18" s="102">
        <f>QUARTILE(I7:I11,1)</f>
        <v>0.12</v>
      </c>
      <c r="F18" s="102">
        <f>QUARTILE(I7:I11,3)</f>
        <v>0.18</v>
      </c>
      <c r="G18" s="191"/>
      <c r="H18" s="141"/>
      <c r="I18" s="141"/>
      <c r="J18" s="141"/>
    </row>
    <row r="19" spans="1:10" ht="21.75" customHeight="1" x14ac:dyDescent="0.2">
      <c r="A19" s="58" t="s">
        <v>65</v>
      </c>
      <c r="B19" s="188"/>
      <c r="C19" s="197">
        <f>MEDIAN(J7:J11)</f>
        <v>0.124</v>
      </c>
      <c r="D19" s="107">
        <f>AVERAGE(J7:J11)</f>
        <v>0.12379999999999999</v>
      </c>
      <c r="E19" s="107">
        <f>QUARTILE(J7:J11,1)</f>
        <v>0.09</v>
      </c>
      <c r="F19" s="107">
        <f>QUARTILE(J7:J11,3)</f>
        <v>0.125</v>
      </c>
      <c r="G19" s="198"/>
      <c r="H19" s="199"/>
      <c r="I19" s="199"/>
      <c r="J19" s="199"/>
    </row>
    <row r="20" spans="1:10" ht="49.5" customHeight="1" x14ac:dyDescent="0.2">
      <c r="A20" s="200" t="s">
        <v>277</v>
      </c>
      <c r="B20" s="201"/>
      <c r="C20" s="21"/>
      <c r="D20" s="21"/>
      <c r="E20" s="21"/>
      <c r="F20" s="21"/>
      <c r="G20" s="21"/>
      <c r="H20" s="21"/>
      <c r="I20" s="21"/>
      <c r="J20" s="21"/>
    </row>
    <row r="21" spans="1:10" ht="39.75" customHeight="1" x14ac:dyDescent="0.2">
      <c r="A21" s="257" t="s">
        <v>278</v>
      </c>
      <c r="B21" s="257"/>
      <c r="C21" s="257"/>
      <c r="D21" s="257"/>
      <c r="E21" s="257"/>
      <c r="F21" s="257"/>
      <c r="G21" s="257"/>
      <c r="H21" s="257"/>
      <c r="I21" s="257"/>
      <c r="J21" s="257"/>
    </row>
    <row r="22" spans="1:10" ht="21.75" customHeight="1" x14ac:dyDescent="0.2">
      <c r="A22" s="258" t="s">
        <v>279</v>
      </c>
      <c r="B22" s="258"/>
      <c r="C22" s="258"/>
      <c r="D22" s="258"/>
      <c r="E22" s="258"/>
      <c r="F22" s="258"/>
      <c r="G22" s="258"/>
      <c r="H22" s="258"/>
      <c r="I22" s="258"/>
      <c r="J22" s="258"/>
    </row>
    <row r="23" spans="1:10" ht="24" customHeight="1" x14ac:dyDescent="0.2">
      <c r="A23" s="202" t="s">
        <v>280</v>
      </c>
      <c r="B23" s="203" t="s">
        <v>281</v>
      </c>
      <c r="C23" s="204"/>
      <c r="D23" s="187" t="s">
        <v>282</v>
      </c>
      <c r="E23" s="187"/>
      <c r="F23" s="187" t="s">
        <v>283</v>
      </c>
      <c r="G23" s="187" t="s">
        <v>284</v>
      </c>
      <c r="H23" s="187"/>
      <c r="I23" s="187"/>
      <c r="J23" s="187"/>
    </row>
    <row r="24" spans="1:10" ht="24" customHeight="1" x14ac:dyDescent="0.2">
      <c r="A24" s="205" t="s">
        <v>285</v>
      </c>
      <c r="B24" s="206">
        <f>PROJECTIONS!E21</f>
        <v>291.2</v>
      </c>
      <c r="C24" s="147"/>
      <c r="D24" s="207"/>
      <c r="E24" s="207"/>
      <c r="F24" s="207"/>
      <c r="G24" s="207"/>
      <c r="H24" s="207"/>
      <c r="I24" s="207"/>
      <c r="J24" s="207"/>
    </row>
    <row r="25" spans="1:10" ht="24" customHeight="1" x14ac:dyDescent="0.2">
      <c r="A25" s="208" t="s">
        <v>286</v>
      </c>
      <c r="B25" s="206">
        <f>PROJECTIONS!E25</f>
        <v>37.856000000000002</v>
      </c>
      <c r="C25" s="157"/>
      <c r="D25" s="209"/>
      <c r="E25" s="209"/>
      <c r="F25" s="209"/>
      <c r="G25" s="209"/>
      <c r="H25" s="209"/>
      <c r="I25" s="209"/>
      <c r="J25" s="209"/>
    </row>
    <row r="26" spans="1:10" ht="24" customHeight="1" x14ac:dyDescent="0.2">
      <c r="A26" s="205" t="s">
        <v>287</v>
      </c>
      <c r="B26" s="151">
        <f>PROJECTIONS!E32</f>
        <v>24.946200000000001</v>
      </c>
      <c r="C26" s="147"/>
      <c r="D26" s="207"/>
      <c r="E26" s="207"/>
      <c r="F26" s="207"/>
      <c r="G26" s="207"/>
      <c r="H26" s="207"/>
      <c r="I26" s="207"/>
      <c r="J26" s="207"/>
    </row>
    <row r="27" spans="1:10" ht="24" customHeight="1" x14ac:dyDescent="0.2">
      <c r="A27" s="208" t="s">
        <v>288</v>
      </c>
      <c r="B27" s="111">
        <v>-16</v>
      </c>
      <c r="C27" s="210" t="s">
        <v>289</v>
      </c>
      <c r="D27" s="209"/>
      <c r="E27" s="209"/>
      <c r="F27" s="209"/>
      <c r="G27" s="209"/>
      <c r="H27" s="209"/>
      <c r="I27" s="209"/>
      <c r="J27" s="209"/>
    </row>
    <row r="28" spans="1:10" ht="24" customHeight="1" x14ac:dyDescent="0.2">
      <c r="A28" s="205" t="s">
        <v>290</v>
      </c>
      <c r="B28" s="211">
        <v>10</v>
      </c>
      <c r="C28" s="147"/>
      <c r="D28" s="207"/>
      <c r="E28" s="207"/>
      <c r="F28" s="207"/>
      <c r="G28" s="207"/>
      <c r="H28" s="207"/>
      <c r="I28" s="207"/>
      <c r="J28" s="207"/>
    </row>
    <row r="29" spans="1:10" ht="25.5" customHeight="1" x14ac:dyDescent="0.2">
      <c r="A29" s="259" t="s">
        <v>291</v>
      </c>
      <c r="B29" s="259"/>
      <c r="C29" s="259"/>
      <c r="D29" s="259"/>
      <c r="E29" s="259"/>
      <c r="F29" s="259"/>
      <c r="G29" s="259"/>
      <c r="H29" s="259"/>
      <c r="I29" s="259"/>
      <c r="J29" s="259"/>
    </row>
    <row r="30" spans="1:10" ht="21.75" customHeight="1" x14ac:dyDescent="0.2">
      <c r="A30" s="212" t="s">
        <v>292</v>
      </c>
      <c r="B30" s="213" t="s">
        <v>293</v>
      </c>
      <c r="C30" s="214" t="s">
        <v>294</v>
      </c>
      <c r="D30" s="115" t="s">
        <v>295</v>
      </c>
      <c r="E30" s="115" t="s">
        <v>296</v>
      </c>
      <c r="F30" s="115" t="s">
        <v>297</v>
      </c>
      <c r="G30" s="115" t="s">
        <v>298</v>
      </c>
      <c r="H30" s="215" t="s">
        <v>299</v>
      </c>
      <c r="I30" s="115"/>
      <c r="J30" s="116"/>
    </row>
    <row r="31" spans="1:10" ht="25.5" customHeight="1" x14ac:dyDescent="0.2">
      <c r="A31" s="208" t="s">
        <v>300</v>
      </c>
      <c r="B31" s="216">
        <v>6.5</v>
      </c>
      <c r="C31" s="109">
        <f>B24*B31</f>
        <v>1892.8</v>
      </c>
      <c r="D31" s="111">
        <v>-16</v>
      </c>
      <c r="E31" s="98">
        <f>C31-D31</f>
        <v>1908.8</v>
      </c>
      <c r="F31" s="217">
        <v>10</v>
      </c>
      <c r="G31" s="218">
        <f>E31/F31</f>
        <v>190.88</v>
      </c>
      <c r="H31" s="219" t="s">
        <v>301</v>
      </c>
      <c r="I31" s="141"/>
      <c r="J31" s="220"/>
    </row>
    <row r="32" spans="1:10" ht="25.5" customHeight="1" x14ac:dyDescent="0.2">
      <c r="A32" s="205" t="s">
        <v>302</v>
      </c>
      <c r="B32" s="216">
        <v>38</v>
      </c>
      <c r="C32" s="100">
        <f>B25*B32</f>
        <v>1438.528</v>
      </c>
      <c r="D32" s="111">
        <v>-16</v>
      </c>
      <c r="E32" s="104">
        <f>C32-D32</f>
        <v>1454.528</v>
      </c>
      <c r="F32" s="221">
        <v>10</v>
      </c>
      <c r="G32" s="161">
        <f>E32/F32</f>
        <v>145.4528</v>
      </c>
      <c r="H32" s="219" t="s">
        <v>303</v>
      </c>
      <c r="I32" s="139"/>
      <c r="J32" s="222"/>
    </row>
    <row r="33" spans="1:10" ht="25.5" customHeight="1" x14ac:dyDescent="0.2">
      <c r="A33" s="223" t="s">
        <v>304</v>
      </c>
      <c r="B33" s="224">
        <v>37</v>
      </c>
      <c r="C33" s="225" t="s">
        <v>305</v>
      </c>
      <c r="D33" s="226" t="s">
        <v>305</v>
      </c>
      <c r="E33" s="227">
        <f>B26*B33</f>
        <v>923.00940000000003</v>
      </c>
      <c r="F33" s="228">
        <v>10</v>
      </c>
      <c r="G33" s="229">
        <f>E33/F33</f>
        <v>92.300939999999997</v>
      </c>
      <c r="H33" s="230" t="s">
        <v>306</v>
      </c>
      <c r="I33" s="231"/>
      <c r="J33" s="232"/>
    </row>
    <row r="34" spans="1:10" ht="7.5" customHeight="1" x14ac:dyDescent="0.2">
      <c r="A34" s="233"/>
      <c r="B34" s="234"/>
      <c r="C34" s="235"/>
      <c r="D34" s="21"/>
      <c r="E34" s="21"/>
      <c r="F34" s="21"/>
      <c r="G34" s="21"/>
      <c r="H34" s="21"/>
      <c r="I34" s="21"/>
      <c r="J34" s="21"/>
    </row>
    <row r="35" spans="1:10" ht="7.5" customHeight="1" x14ac:dyDescent="0.2">
      <c r="A35" s="200"/>
      <c r="B35" s="21"/>
      <c r="C35" s="21"/>
      <c r="D35" s="21"/>
      <c r="E35" s="21"/>
      <c r="F35" s="21"/>
      <c r="G35" s="21"/>
      <c r="H35" s="21"/>
      <c r="I35" s="21"/>
      <c r="J35" s="21"/>
    </row>
    <row r="36" spans="1:10" ht="7.5" customHeight="1" x14ac:dyDescent="0.2">
      <c r="A36" s="200"/>
      <c r="B36" s="21"/>
      <c r="C36" s="21"/>
      <c r="D36" s="21"/>
      <c r="E36" s="21"/>
      <c r="F36" s="21"/>
      <c r="G36" s="21"/>
      <c r="H36" s="21"/>
      <c r="I36" s="21"/>
      <c r="J36" s="21"/>
    </row>
    <row r="37" spans="1:10" ht="25.5" customHeight="1" x14ac:dyDescent="0.2">
      <c r="A37" s="260" t="s">
        <v>307</v>
      </c>
      <c r="B37" s="260"/>
      <c r="C37" s="260"/>
      <c r="D37" s="260"/>
      <c r="E37" s="260"/>
      <c r="F37" s="260"/>
      <c r="G37" s="260"/>
      <c r="H37" s="260"/>
      <c r="I37" s="260"/>
      <c r="J37" s="260"/>
    </row>
    <row r="38" spans="1:10" ht="109.5" customHeight="1" x14ac:dyDescent="0.2">
      <c r="A38" s="261" t="s">
        <v>308</v>
      </c>
      <c r="B38" s="261"/>
      <c r="C38" s="261"/>
      <c r="D38" s="261"/>
      <c r="E38" s="261"/>
      <c r="F38" s="261"/>
      <c r="G38" s="261"/>
      <c r="H38" s="261"/>
      <c r="I38" s="261"/>
      <c r="J38" s="261"/>
    </row>
    <row r="39" spans="1:10" ht="21.75" customHeight="1" x14ac:dyDescent="0.2">
      <c r="A39" s="261"/>
      <c r="B39" s="261"/>
      <c r="C39" s="261"/>
      <c r="D39" s="261"/>
      <c r="E39" s="261"/>
      <c r="F39" s="261"/>
      <c r="G39" s="261"/>
      <c r="H39" s="261"/>
      <c r="I39" s="261"/>
      <c r="J39" s="261"/>
    </row>
    <row r="40" spans="1:10" ht="21.75" customHeight="1" x14ac:dyDescent="0.2">
      <c r="A40" s="261"/>
      <c r="B40" s="261"/>
      <c r="C40" s="261"/>
      <c r="D40" s="261"/>
      <c r="E40" s="261"/>
      <c r="F40" s="261"/>
      <c r="G40" s="261"/>
      <c r="H40" s="261"/>
      <c r="I40" s="261"/>
      <c r="J40" s="261"/>
    </row>
    <row r="41" spans="1:10" ht="21.75" customHeight="1" x14ac:dyDescent="0.2">
      <c r="A41" s="261"/>
      <c r="B41" s="261"/>
      <c r="C41" s="261"/>
      <c r="D41" s="261"/>
      <c r="E41" s="261"/>
      <c r="F41" s="261"/>
      <c r="G41" s="261"/>
      <c r="H41" s="261"/>
      <c r="I41" s="261"/>
      <c r="J41" s="261"/>
    </row>
    <row r="42" spans="1:10" ht="21.75" customHeight="1" x14ac:dyDescent="0.2">
      <c r="A42" s="261"/>
      <c r="B42" s="261"/>
      <c r="C42" s="261"/>
      <c r="D42" s="261"/>
      <c r="E42" s="261"/>
      <c r="F42" s="261"/>
      <c r="G42" s="261"/>
      <c r="H42" s="261"/>
      <c r="I42" s="261"/>
      <c r="J42" s="261"/>
    </row>
    <row r="43" spans="1:10" ht="21.75" customHeight="1" x14ac:dyDescent="0.2"/>
    <row r="44" spans="1:10" ht="19.5" customHeight="1" x14ac:dyDescent="0.2">
      <c r="A44" s="10" t="s">
        <v>69</v>
      </c>
      <c r="B44" s="10"/>
      <c r="C44" s="10"/>
      <c r="D44" s="10"/>
      <c r="E44" s="10"/>
      <c r="F44" s="10"/>
      <c r="G44" s="10"/>
      <c r="H44" s="10"/>
      <c r="I44" s="10"/>
      <c r="J44" s="10"/>
    </row>
  </sheetData>
  <mergeCells count="9">
    <mergeCell ref="A29:J29"/>
    <mergeCell ref="A37:J37"/>
    <mergeCell ref="A38:J42"/>
    <mergeCell ref="A44:J44"/>
    <mergeCell ref="A1:J4"/>
    <mergeCell ref="A12:J12"/>
    <mergeCell ref="A13:J13"/>
    <mergeCell ref="A21:J21"/>
    <mergeCell ref="A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H34"/>
  <sheetViews>
    <sheetView showGridLines="0" topLeftCell="A12" zoomScale="62" zoomScaleNormal="62" workbookViewId="0">
      <selection activeCell="B17" sqref="B17"/>
    </sheetView>
  </sheetViews>
  <sheetFormatPr defaultColWidth="8.609375" defaultRowHeight="15" x14ac:dyDescent="0.2"/>
  <cols>
    <col min="1" max="1" width="44.390625" style="15" customWidth="1"/>
    <col min="2" max="4" width="21.38671875" style="15" customWidth="1"/>
    <col min="5" max="5" width="16.6796875" style="15" customWidth="1"/>
    <col min="6" max="6" width="20.3125" style="15" customWidth="1"/>
    <col min="7" max="7" width="31.4765625" style="15" customWidth="1"/>
    <col min="8" max="8" width="14.796875" style="15" customWidth="1"/>
  </cols>
  <sheetData>
    <row r="1" spans="1:8" ht="39.75" customHeight="1" x14ac:dyDescent="0.2">
      <c r="A1" s="14" t="s">
        <v>309</v>
      </c>
      <c r="B1" s="14"/>
      <c r="C1" s="14"/>
      <c r="D1" s="14"/>
      <c r="E1" s="14"/>
      <c r="F1" s="14"/>
      <c r="G1" s="14"/>
      <c r="H1" s="14"/>
    </row>
    <row r="2" spans="1:8" ht="7.5" customHeight="1" x14ac:dyDescent="0.2">
      <c r="A2" s="14"/>
      <c r="B2" s="14"/>
      <c r="C2" s="14"/>
      <c r="D2" s="14"/>
      <c r="E2" s="14"/>
      <c r="F2" s="14"/>
      <c r="G2" s="14"/>
      <c r="H2" s="14"/>
    </row>
    <row r="3" spans="1:8" ht="7.5" customHeight="1" x14ac:dyDescent="0.2">
      <c r="A3" s="14"/>
      <c r="B3" s="14"/>
      <c r="C3" s="14"/>
      <c r="D3" s="14"/>
      <c r="E3" s="14"/>
      <c r="F3" s="14"/>
      <c r="G3" s="14"/>
      <c r="H3" s="14"/>
    </row>
    <row r="4" spans="1:8" ht="7.5" customHeight="1" x14ac:dyDescent="0.2">
      <c r="A4" s="14"/>
      <c r="B4" s="14"/>
      <c r="C4" s="14"/>
      <c r="D4" s="14"/>
      <c r="E4" s="14"/>
      <c r="F4" s="14"/>
      <c r="G4" s="14"/>
      <c r="H4" s="14"/>
    </row>
    <row r="5" spans="1:8" ht="7.5" customHeight="1" x14ac:dyDescent="0.2">
      <c r="A5" s="16"/>
      <c r="B5" s="16"/>
      <c r="C5" s="16"/>
      <c r="D5" s="16"/>
      <c r="E5" s="16"/>
      <c r="F5" s="16"/>
      <c r="G5" s="16"/>
      <c r="H5" s="16"/>
    </row>
    <row r="6" spans="1:8" ht="25.5" customHeight="1" x14ac:dyDescent="0.2">
      <c r="A6" s="13" t="s">
        <v>310</v>
      </c>
      <c r="B6" s="13"/>
      <c r="C6" s="13"/>
      <c r="D6" s="13"/>
      <c r="E6" s="13"/>
      <c r="F6" s="13"/>
      <c r="G6" s="13"/>
      <c r="H6" s="13"/>
    </row>
    <row r="7" spans="1:8" ht="21.75" customHeight="1" x14ac:dyDescent="0.2">
      <c r="A7" s="88" t="s">
        <v>311</v>
      </c>
      <c r="B7" s="88" t="s">
        <v>312</v>
      </c>
      <c r="C7" s="88" t="s">
        <v>313</v>
      </c>
      <c r="D7" s="88" t="s">
        <v>314</v>
      </c>
      <c r="E7" s="88" t="s">
        <v>315</v>
      </c>
      <c r="F7" s="88" t="s">
        <v>316</v>
      </c>
      <c r="G7" s="88"/>
      <c r="H7" s="88"/>
    </row>
    <row r="8" spans="1:8" ht="24" customHeight="1" x14ac:dyDescent="0.2">
      <c r="A8" s="91" t="s">
        <v>317</v>
      </c>
      <c r="B8" s="236">
        <v>38</v>
      </c>
      <c r="C8" s="236">
        <v>46</v>
      </c>
      <c r="D8" s="236">
        <v>55</v>
      </c>
      <c r="E8" s="92">
        <v>0.5</v>
      </c>
      <c r="F8" s="237">
        <f>C8*E8</f>
        <v>23</v>
      </c>
      <c r="G8" s="147" t="s">
        <v>318</v>
      </c>
      <c r="H8" s="139"/>
    </row>
    <row r="9" spans="1:8" ht="24" customHeight="1" x14ac:dyDescent="0.2">
      <c r="A9" s="94" t="s">
        <v>319</v>
      </c>
      <c r="B9" s="236">
        <v>32</v>
      </c>
      <c r="C9" s="236">
        <v>44</v>
      </c>
      <c r="D9" s="236">
        <v>54</v>
      </c>
      <c r="E9" s="92">
        <v>0.35</v>
      </c>
      <c r="F9" s="238">
        <f>C9*E9</f>
        <v>15.399999999999999</v>
      </c>
      <c r="G9" s="157" t="s">
        <v>320</v>
      </c>
      <c r="H9" s="141"/>
    </row>
    <row r="10" spans="1:8" ht="24" customHeight="1" x14ac:dyDescent="0.2">
      <c r="A10" s="91" t="s">
        <v>321</v>
      </c>
      <c r="B10" s="236">
        <v>28</v>
      </c>
      <c r="C10" s="236">
        <v>39</v>
      </c>
      <c r="D10" s="236">
        <v>49</v>
      </c>
      <c r="E10" s="92">
        <v>0.15</v>
      </c>
      <c r="F10" s="237">
        <f>C10*E10</f>
        <v>5.85</v>
      </c>
      <c r="G10" s="147" t="s">
        <v>322</v>
      </c>
      <c r="H10" s="139"/>
    </row>
    <row r="11" spans="1:8" ht="24" customHeight="1" x14ac:dyDescent="0.2">
      <c r="A11" s="239" t="s">
        <v>323</v>
      </c>
      <c r="B11" s="240">
        <f>B8*E8+B9*E9+B10*E10</f>
        <v>34.4</v>
      </c>
      <c r="C11" s="240">
        <f>C8*E8+C9*E9+C10*E10</f>
        <v>44.25</v>
      </c>
      <c r="D11" s="240">
        <f>D8*E8+D9*E9+D10*E10</f>
        <v>53.75</v>
      </c>
      <c r="E11" s="241">
        <v>1</v>
      </c>
      <c r="F11" s="240">
        <f>F8+F9+F10</f>
        <v>44.25</v>
      </c>
      <c r="G11" s="242" t="s">
        <v>324</v>
      </c>
      <c r="H11" s="243"/>
    </row>
    <row r="12" spans="1:8" ht="9.75" customHeight="1" x14ac:dyDescent="0.2">
      <c r="A12" s="21"/>
      <c r="B12" s="21"/>
      <c r="C12" s="21"/>
      <c r="D12" s="21"/>
      <c r="E12" s="21"/>
      <c r="F12" s="21"/>
      <c r="G12" s="21"/>
      <c r="H12" s="21"/>
    </row>
    <row r="13" spans="1:8" ht="9.75" customHeight="1" x14ac:dyDescent="0.2">
      <c r="A13" s="21"/>
      <c r="B13" s="21"/>
      <c r="C13" s="21"/>
      <c r="D13" s="21"/>
      <c r="E13" s="21"/>
      <c r="F13" s="21"/>
      <c r="G13" s="21"/>
      <c r="H13" s="21"/>
    </row>
    <row r="14" spans="1:8" ht="25.5" customHeight="1" x14ac:dyDescent="0.2">
      <c r="A14" s="13" t="s">
        <v>325</v>
      </c>
      <c r="B14" s="13"/>
      <c r="C14" s="13"/>
      <c r="D14" s="13"/>
      <c r="E14" s="13"/>
      <c r="F14" s="13"/>
      <c r="G14" s="13"/>
      <c r="H14" s="13"/>
    </row>
    <row r="15" spans="1:8" ht="24" customHeight="1" x14ac:dyDescent="0.2">
      <c r="A15" s="94" t="s">
        <v>326</v>
      </c>
      <c r="B15" s="262" t="s">
        <v>327</v>
      </c>
      <c r="C15" s="262"/>
      <c r="D15" s="262"/>
      <c r="E15" s="262"/>
      <c r="F15" s="262"/>
      <c r="G15" s="262"/>
      <c r="H15" s="262"/>
    </row>
    <row r="16" spans="1:8" ht="24" customHeight="1" x14ac:dyDescent="0.2">
      <c r="A16" s="91" t="s">
        <v>328</v>
      </c>
      <c r="B16" s="263" t="s">
        <v>329</v>
      </c>
      <c r="C16" s="263"/>
      <c r="D16" s="263"/>
      <c r="E16" s="263"/>
      <c r="F16" s="263"/>
      <c r="G16" s="263"/>
      <c r="H16" s="263"/>
    </row>
    <row r="17" spans="1:8" ht="24" customHeight="1" x14ac:dyDescent="0.2">
      <c r="A17" s="94" t="s">
        <v>330</v>
      </c>
      <c r="B17" s="264" t="s">
        <v>331</v>
      </c>
      <c r="C17" s="264"/>
      <c r="D17" s="264"/>
      <c r="E17" s="264"/>
      <c r="F17" s="264"/>
      <c r="G17" s="264"/>
      <c r="H17" s="264"/>
    </row>
    <row r="18" spans="1:8" ht="24" customHeight="1" x14ac:dyDescent="0.2">
      <c r="A18" s="91" t="s">
        <v>332</v>
      </c>
      <c r="B18" s="264" t="s">
        <v>333</v>
      </c>
      <c r="C18" s="264"/>
      <c r="D18" s="264"/>
      <c r="E18" s="264"/>
      <c r="F18" s="264"/>
      <c r="G18" s="264"/>
      <c r="H18" s="264"/>
    </row>
    <row r="19" spans="1:8" ht="34.5" customHeight="1" x14ac:dyDescent="0.2">
      <c r="A19" s="94" t="s">
        <v>334</v>
      </c>
      <c r="B19" s="264" t="s">
        <v>335</v>
      </c>
      <c r="C19" s="264"/>
      <c r="D19" s="264"/>
      <c r="E19" s="264"/>
      <c r="F19" s="264"/>
      <c r="G19" s="264"/>
      <c r="H19" s="264"/>
    </row>
    <row r="20" spans="1:8" ht="34.5" customHeight="1" x14ac:dyDescent="0.2">
      <c r="A20" s="91" t="s">
        <v>336</v>
      </c>
      <c r="B20" s="264" t="s">
        <v>337</v>
      </c>
      <c r="C20" s="264"/>
      <c r="D20" s="264"/>
      <c r="E20" s="264"/>
      <c r="F20" s="264"/>
      <c r="G20" s="264"/>
      <c r="H20" s="264"/>
    </row>
    <row r="21" spans="1:8" ht="9.75" customHeight="1" x14ac:dyDescent="0.2">
      <c r="A21" s="21"/>
      <c r="B21" s="21"/>
      <c r="C21" s="21"/>
      <c r="D21" s="21"/>
      <c r="E21" s="21"/>
      <c r="F21" s="21"/>
      <c r="G21" s="21"/>
      <c r="H21" s="21"/>
    </row>
    <row r="22" spans="1:8" ht="99.75" customHeight="1" x14ac:dyDescent="0.2">
      <c r="A22" s="244" t="s">
        <v>338</v>
      </c>
      <c r="B22" s="21"/>
      <c r="C22" s="21"/>
      <c r="D22" s="21"/>
      <c r="E22" s="21"/>
      <c r="F22" s="21"/>
      <c r="G22" s="21"/>
      <c r="H22" s="21"/>
    </row>
    <row r="23" spans="1:8" ht="25.5" customHeight="1" x14ac:dyDescent="0.2">
      <c r="A23" s="13" t="s">
        <v>339</v>
      </c>
      <c r="B23" s="13"/>
      <c r="C23" s="13"/>
      <c r="D23" s="13"/>
      <c r="E23" s="13"/>
      <c r="F23" s="13"/>
      <c r="G23" s="13"/>
      <c r="H23" s="13"/>
    </row>
    <row r="24" spans="1:8" ht="19.5" customHeight="1" x14ac:dyDescent="0.2">
      <c r="A24" s="265" t="s">
        <v>340</v>
      </c>
      <c r="B24" s="265"/>
      <c r="C24" s="265"/>
      <c r="D24" s="265"/>
      <c r="E24" s="265"/>
      <c r="F24" s="265"/>
      <c r="G24" s="265"/>
      <c r="H24" s="265"/>
    </row>
    <row r="25" spans="1:8" ht="19.5" customHeight="1" x14ac:dyDescent="0.2">
      <c r="A25" s="265"/>
      <c r="B25" s="265"/>
      <c r="C25" s="265"/>
      <c r="D25" s="265"/>
      <c r="E25" s="265"/>
      <c r="F25" s="265"/>
      <c r="G25" s="265"/>
      <c r="H25" s="265"/>
    </row>
    <row r="26" spans="1:8" ht="19.5" customHeight="1" x14ac:dyDescent="0.2">
      <c r="A26" s="265"/>
      <c r="B26" s="265"/>
      <c r="C26" s="265"/>
      <c r="D26" s="265"/>
      <c r="E26" s="265"/>
      <c r="F26" s="265"/>
      <c r="G26" s="265"/>
      <c r="H26" s="265"/>
    </row>
    <row r="27" spans="1:8" ht="19.5" customHeight="1" x14ac:dyDescent="0.2">
      <c r="A27" s="265"/>
      <c r="B27" s="265"/>
      <c r="C27" s="265"/>
      <c r="D27" s="265"/>
      <c r="E27" s="265"/>
      <c r="F27" s="265"/>
      <c r="G27" s="265"/>
      <c r="H27" s="265"/>
    </row>
    <row r="28" spans="1:8" ht="19.5" customHeight="1" x14ac:dyDescent="0.2">
      <c r="A28" s="265"/>
      <c r="B28" s="265"/>
      <c r="C28" s="265"/>
      <c r="D28" s="265"/>
      <c r="E28" s="265"/>
      <c r="F28" s="265"/>
      <c r="G28" s="265"/>
      <c r="H28" s="265"/>
    </row>
    <row r="29" spans="1:8" ht="19.5" customHeight="1" x14ac:dyDescent="0.2">
      <c r="A29" s="265"/>
      <c r="B29" s="265"/>
      <c r="C29" s="265"/>
      <c r="D29" s="265"/>
      <c r="E29" s="265"/>
      <c r="F29" s="265"/>
      <c r="G29" s="265"/>
      <c r="H29" s="265"/>
    </row>
    <row r="30" spans="1:8" ht="19.5" customHeight="1" x14ac:dyDescent="0.2">
      <c r="A30" s="265"/>
      <c r="B30" s="265"/>
      <c r="C30" s="265"/>
      <c r="D30" s="265"/>
      <c r="E30" s="265"/>
      <c r="F30" s="265"/>
      <c r="G30" s="265"/>
      <c r="H30" s="265"/>
    </row>
    <row r="31" spans="1:8" ht="19.5" customHeight="1" x14ac:dyDescent="0.2">
      <c r="A31" s="265"/>
      <c r="B31" s="265"/>
      <c r="C31" s="265"/>
      <c r="D31" s="265"/>
      <c r="E31" s="265"/>
      <c r="F31" s="265"/>
      <c r="G31" s="265"/>
      <c r="H31" s="265"/>
    </row>
    <row r="32" spans="1:8" ht="19.5" customHeight="1" x14ac:dyDescent="0.2">
      <c r="A32" s="265"/>
      <c r="B32" s="265"/>
      <c r="C32" s="265"/>
      <c r="D32" s="265"/>
      <c r="E32" s="265"/>
      <c r="F32" s="265"/>
      <c r="G32" s="265"/>
      <c r="H32" s="265"/>
    </row>
    <row r="33" spans="1:8" ht="9.75" customHeight="1" x14ac:dyDescent="0.2">
      <c r="A33" s="21"/>
      <c r="B33" s="21"/>
      <c r="C33" s="21"/>
      <c r="D33" s="21"/>
      <c r="E33" s="21"/>
      <c r="F33" s="21"/>
      <c r="G33" s="21"/>
      <c r="H33" s="21"/>
    </row>
    <row r="34" spans="1:8" ht="19.5" customHeight="1" x14ac:dyDescent="0.2">
      <c r="A34" s="10" t="s">
        <v>25</v>
      </c>
      <c r="B34" s="10"/>
      <c r="C34" s="10"/>
      <c r="D34" s="10"/>
      <c r="E34" s="10"/>
      <c r="F34" s="10"/>
      <c r="G34" s="10"/>
      <c r="H34" s="10"/>
    </row>
  </sheetData>
  <mergeCells count="12">
    <mergeCell ref="A24:H32"/>
    <mergeCell ref="A34:H34"/>
    <mergeCell ref="B17:H17"/>
    <mergeCell ref="B18:H18"/>
    <mergeCell ref="B19:H19"/>
    <mergeCell ref="B20:H20"/>
    <mergeCell ref="A23:H23"/>
    <mergeCell ref="A1:H4"/>
    <mergeCell ref="A6:H6"/>
    <mergeCell ref="A14:H14"/>
    <mergeCell ref="B15:H15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</vt:lpstr>
      <vt:lpstr>ASSUMPTIONS</vt:lpstr>
      <vt:lpstr>PROJECTIONS</vt:lpstr>
      <vt:lpstr>DCF VALUATION</vt:lpstr>
      <vt:lpstr>COMPARABLES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Prince Vashisht</dc:creator>
  <dc:description/>
  <cp:lastModifiedBy>Prince Vashisht</cp:lastModifiedBy>
  <cp:revision>0</cp:revision>
  <dcterms:created xsi:type="dcterms:W3CDTF">2026-03-28T09:17:13Z</dcterms:created>
  <dcterms:modified xsi:type="dcterms:W3CDTF">2026-04-04T03:03:59Z</dcterms:modified>
  <dc:language>en-US</dc:language>
</cp:coreProperties>
</file>